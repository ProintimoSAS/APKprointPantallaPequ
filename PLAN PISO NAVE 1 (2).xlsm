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lan de piso\"/>
    </mc:Choice>
  </mc:AlternateContent>
  <xr:revisionPtr revIDLastSave="0" documentId="13_ncr:1_{E19DF9DF-DADC-4310-866A-C7631508C064}" xr6:coauthVersionLast="47" xr6:coauthVersionMax="47" xr10:uidLastSave="{00000000-0000-0000-0000-000000000000}"/>
  <bookViews>
    <workbookView xWindow="28680" yWindow="4440" windowWidth="20730" windowHeight="11160" tabRatio="704" activeTab="4" xr2:uid="{1FD619C1-1B30-416D-84F4-7687CA6945BD}"/>
  </bookViews>
  <sheets>
    <sheet name="Modulo 102" sheetId="18" r:id="rId1"/>
    <sheet name="Modulo 103" sheetId="17" r:id="rId2"/>
    <sheet name="Modulo 105" sheetId="24" r:id="rId3"/>
    <sheet name="Modulo 110" sheetId="26" r:id="rId4"/>
    <sheet name="Modulo 106" sheetId="27" r:id="rId5"/>
    <sheet name="Modulo 118" sheetId="28" r:id="rId6"/>
    <sheet name="Modulo 133" sheetId="29" r:id="rId7"/>
    <sheet name="Modulo 200" sheetId="30" r:id="rId8"/>
    <sheet name="Inf NAVE 1" sheetId="2" r:id="rId9"/>
    <sheet name="INFORME DIARIO" sheetId="34" r:id="rId10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7" l="1"/>
  <c r="G6" i="17"/>
  <c r="G7" i="17"/>
  <c r="G8" i="17"/>
  <c r="G9" i="17"/>
  <c r="G10" i="17"/>
  <c r="G11" i="17"/>
  <c r="G12" i="17"/>
  <c r="G13" i="17"/>
  <c r="I4" i="18"/>
  <c r="L7" i="2"/>
  <c r="B5" i="26"/>
  <c r="B14" i="26" s="1"/>
  <c r="J14" i="26" s="1"/>
  <c r="B6" i="26"/>
  <c r="B7" i="26"/>
  <c r="J7" i="26" s="1"/>
  <c r="E47" i="2" s="1"/>
  <c r="B8" i="26"/>
  <c r="B9" i="26"/>
  <c r="B10" i="26"/>
  <c r="J10" i="26" s="1"/>
  <c r="H47" i="2" s="1"/>
  <c r="B11" i="26"/>
  <c r="B12" i="26"/>
  <c r="J12" i="26" s="1"/>
  <c r="J47" i="2" s="1"/>
  <c r="B13" i="26"/>
  <c r="B4" i="26"/>
  <c r="J11" i="27"/>
  <c r="I37" i="2" s="1"/>
  <c r="J8" i="27"/>
  <c r="F37" i="2" s="1"/>
  <c r="J7" i="27"/>
  <c r="E37" i="2" s="1"/>
  <c r="J6" i="27"/>
  <c r="D37" i="2" s="1"/>
  <c r="J9" i="27"/>
  <c r="G37" i="2" s="1"/>
  <c r="J10" i="27"/>
  <c r="H37" i="2" s="1"/>
  <c r="C5" i="17"/>
  <c r="C6" i="17"/>
  <c r="C7" i="17" s="1"/>
  <c r="C10" i="30"/>
  <c r="B9" i="28"/>
  <c r="B6" i="28"/>
  <c r="J6" i="28" s="1"/>
  <c r="D57" i="2" s="1"/>
  <c r="B7" i="28"/>
  <c r="B8" i="28"/>
  <c r="B10" i="28"/>
  <c r="J10" i="28" s="1"/>
  <c r="H57" i="2" s="1"/>
  <c r="B11" i="28"/>
  <c r="J11" i="28" s="1"/>
  <c r="I57" i="2" s="1"/>
  <c r="B12" i="28"/>
  <c r="B13" i="28"/>
  <c r="B5" i="28"/>
  <c r="J7" i="28"/>
  <c r="E57" i="2" s="1"/>
  <c r="J9" i="28"/>
  <c r="G57" i="2" s="1"/>
  <c r="J13" i="28"/>
  <c r="K57" i="2" s="1"/>
  <c r="B4" i="28"/>
  <c r="B14" i="17"/>
  <c r="J14" i="17" s="1"/>
  <c r="B14" i="18"/>
  <c r="J14" i="18" s="1"/>
  <c r="S12" i="18"/>
  <c r="Q11" i="18"/>
  <c r="B10" i="18"/>
  <c r="B11" i="18"/>
  <c r="B12" i="18"/>
  <c r="B13" i="18"/>
  <c r="B9" i="18"/>
  <c r="B6" i="18"/>
  <c r="B7" i="18"/>
  <c r="J7" i="18" s="1"/>
  <c r="E9" i="2" s="1"/>
  <c r="B5" i="18"/>
  <c r="B4" i="18"/>
  <c r="B8" i="18"/>
  <c r="J8" i="18" s="1"/>
  <c r="F9" i="2" s="1"/>
  <c r="C4" i="18"/>
  <c r="J5" i="18"/>
  <c r="C9" i="2" s="1"/>
  <c r="J6" i="18"/>
  <c r="D9" i="2" s="1"/>
  <c r="J9" i="18"/>
  <c r="G9" i="2" s="1"/>
  <c r="J10" i="18"/>
  <c r="H9" i="2" s="1"/>
  <c r="J12" i="18"/>
  <c r="J9" i="2" s="1"/>
  <c r="J13" i="18"/>
  <c r="K9" i="2" s="1"/>
  <c r="B8" i="17"/>
  <c r="B4" i="17"/>
  <c r="B5" i="17"/>
  <c r="B6" i="17"/>
  <c r="B7" i="17"/>
  <c r="J7" i="17" s="1"/>
  <c r="J8" i="17"/>
  <c r="B9" i="17"/>
  <c r="B10" i="17"/>
  <c r="J10" i="17" s="1"/>
  <c r="B11" i="17"/>
  <c r="B12" i="17"/>
  <c r="B13" i="17"/>
  <c r="J12" i="17"/>
  <c r="C4" i="26"/>
  <c r="C5" i="26" s="1"/>
  <c r="B9" i="30"/>
  <c r="J9" i="30" s="1"/>
  <c r="G73" i="2" s="1"/>
  <c r="B8" i="30"/>
  <c r="J8" i="30" s="1"/>
  <c r="F73" i="2" s="1"/>
  <c r="J8" i="28"/>
  <c r="F57" i="2" s="1"/>
  <c r="J9" i="26"/>
  <c r="G47" i="2" s="1"/>
  <c r="J8" i="26"/>
  <c r="F47" i="2" s="1"/>
  <c r="B9" i="24"/>
  <c r="B8" i="24"/>
  <c r="J9" i="17"/>
  <c r="C4" i="28"/>
  <c r="C4" i="24"/>
  <c r="C5" i="18"/>
  <c r="C6" i="18" s="1"/>
  <c r="C7" i="18" s="1"/>
  <c r="C8" i="18" s="1"/>
  <c r="C9" i="18" s="1"/>
  <c r="C10" i="18" s="1"/>
  <c r="C11" i="18" s="1"/>
  <c r="C5" i="30"/>
  <c r="C5" i="28"/>
  <c r="C5" i="24"/>
  <c r="J8" i="24"/>
  <c r="K13" i="24"/>
  <c r="I13" i="24"/>
  <c r="K12" i="24"/>
  <c r="I12" i="24"/>
  <c r="K11" i="24"/>
  <c r="I11" i="24"/>
  <c r="K10" i="24"/>
  <c r="I10" i="24"/>
  <c r="K9" i="24"/>
  <c r="J9" i="24"/>
  <c r="I9" i="24"/>
  <c r="K8" i="24"/>
  <c r="I8" i="24"/>
  <c r="K7" i="24"/>
  <c r="I7" i="24"/>
  <c r="K6" i="24"/>
  <c r="I6" i="24"/>
  <c r="K5" i="24"/>
  <c r="I5" i="24"/>
  <c r="I4" i="24"/>
  <c r="E6" i="24"/>
  <c r="E7" i="24"/>
  <c r="E8" i="24"/>
  <c r="E9" i="24"/>
  <c r="E10" i="24"/>
  <c r="E11" i="24"/>
  <c r="G11" i="24" s="1"/>
  <c r="E12" i="24"/>
  <c r="G12" i="24" s="1"/>
  <c r="E13" i="24"/>
  <c r="G13" i="24" s="1"/>
  <c r="E5" i="24"/>
  <c r="C11" i="24"/>
  <c r="C12" i="24"/>
  <c r="C13" i="24"/>
  <c r="B6" i="24"/>
  <c r="J6" i="24" s="1"/>
  <c r="B7" i="24"/>
  <c r="J7" i="24" s="1"/>
  <c r="B10" i="24"/>
  <c r="J10" i="24" s="1"/>
  <c r="B11" i="24"/>
  <c r="J11" i="24" s="1"/>
  <c r="B12" i="24"/>
  <c r="J12" i="24" s="1"/>
  <c r="B13" i="24"/>
  <c r="J13" i="24" s="1"/>
  <c r="B5" i="24"/>
  <c r="J5" i="24" s="1"/>
  <c r="B4" i="24"/>
  <c r="J4" i="24" s="1"/>
  <c r="K20" i="2"/>
  <c r="J20" i="2"/>
  <c r="I20" i="2"/>
  <c r="H20" i="2"/>
  <c r="G20" i="2"/>
  <c r="F20" i="2"/>
  <c r="E20" i="2"/>
  <c r="D20" i="2"/>
  <c r="C20" i="2"/>
  <c r="B20" i="2"/>
  <c r="D14" i="17"/>
  <c r="K13" i="17"/>
  <c r="I13" i="17"/>
  <c r="K12" i="17"/>
  <c r="I12" i="17"/>
  <c r="K11" i="17"/>
  <c r="I11" i="17"/>
  <c r="K10" i="17"/>
  <c r="I10" i="17"/>
  <c r="K9" i="17"/>
  <c r="I9" i="17"/>
  <c r="K8" i="17"/>
  <c r="I8" i="17"/>
  <c r="K7" i="17"/>
  <c r="I7" i="17"/>
  <c r="K6" i="17"/>
  <c r="I6" i="17"/>
  <c r="K5" i="17"/>
  <c r="I5" i="17"/>
  <c r="I4" i="17"/>
  <c r="E6" i="17"/>
  <c r="E7" i="17"/>
  <c r="E8" i="17"/>
  <c r="E9" i="17"/>
  <c r="E10" i="17"/>
  <c r="E11" i="17"/>
  <c r="E12" i="17"/>
  <c r="E13" i="17"/>
  <c r="E5" i="17"/>
  <c r="J6" i="17"/>
  <c r="J11" i="17"/>
  <c r="J13" i="17"/>
  <c r="J5" i="17"/>
  <c r="K19" i="2"/>
  <c r="J19" i="2"/>
  <c r="I19" i="2"/>
  <c r="H19" i="2"/>
  <c r="G19" i="2"/>
  <c r="F19" i="2"/>
  <c r="E19" i="2"/>
  <c r="D19" i="2"/>
  <c r="C19" i="2"/>
  <c r="B19" i="2"/>
  <c r="K10" i="2"/>
  <c r="J10" i="2"/>
  <c r="I10" i="2"/>
  <c r="H10" i="2"/>
  <c r="G10" i="2"/>
  <c r="F10" i="2"/>
  <c r="E10" i="2"/>
  <c r="D10" i="2"/>
  <c r="C10" i="2"/>
  <c r="B10" i="2"/>
  <c r="D14" i="18"/>
  <c r="J11" i="18"/>
  <c r="I9" i="2" s="1"/>
  <c r="K13" i="18"/>
  <c r="I13" i="18"/>
  <c r="K12" i="18"/>
  <c r="I12" i="18"/>
  <c r="K11" i="18"/>
  <c r="I11" i="18"/>
  <c r="K10" i="18"/>
  <c r="I10" i="18"/>
  <c r="K9" i="18"/>
  <c r="I9" i="18"/>
  <c r="K8" i="18"/>
  <c r="I8" i="18"/>
  <c r="K7" i="18"/>
  <c r="I7" i="18"/>
  <c r="K6" i="18"/>
  <c r="I6" i="18"/>
  <c r="K5" i="18"/>
  <c r="I5" i="18"/>
  <c r="E6" i="18"/>
  <c r="E7" i="18"/>
  <c r="E8" i="18"/>
  <c r="E9" i="18"/>
  <c r="E10" i="18"/>
  <c r="E11" i="18"/>
  <c r="E12" i="18"/>
  <c r="E13" i="18"/>
  <c r="E5" i="18"/>
  <c r="C12" i="18"/>
  <c r="C13" i="18"/>
  <c r="E5" i="28"/>
  <c r="C11" i="26"/>
  <c r="C12" i="26"/>
  <c r="C13" i="26"/>
  <c r="B4" i="30"/>
  <c r="J4" i="30" s="1"/>
  <c r="B73" i="2" s="1"/>
  <c r="J4" i="28"/>
  <c r="B57" i="2" s="1"/>
  <c r="J5" i="26"/>
  <c r="C47" i="2" s="1"/>
  <c r="J6" i="26"/>
  <c r="D47" i="2" s="1"/>
  <c r="J11" i="26"/>
  <c r="I47" i="2" s="1"/>
  <c r="J13" i="26"/>
  <c r="K47" i="2" s="1"/>
  <c r="F4" i="27"/>
  <c r="J5" i="27"/>
  <c r="C37" i="2" s="1"/>
  <c r="J12" i="27"/>
  <c r="J37" i="2" s="1"/>
  <c r="J13" i="27"/>
  <c r="K37" i="2" s="1"/>
  <c r="J12" i="28"/>
  <c r="J57" i="2" s="1"/>
  <c r="B10" i="30"/>
  <c r="J10" i="30" s="1"/>
  <c r="H73" i="2" s="1"/>
  <c r="B11" i="30"/>
  <c r="J11" i="30" s="1"/>
  <c r="I73" i="2" s="1"/>
  <c r="B12" i="30"/>
  <c r="J12" i="30" s="1"/>
  <c r="J73" i="2" s="1"/>
  <c r="B13" i="30"/>
  <c r="J13" i="30" s="1"/>
  <c r="K73" i="2" s="1"/>
  <c r="B6" i="30"/>
  <c r="J6" i="30" s="1"/>
  <c r="D73" i="2" s="1"/>
  <c r="B7" i="30"/>
  <c r="J7" i="30" s="1"/>
  <c r="E73" i="2" s="1"/>
  <c r="J5" i="28"/>
  <c r="C57" i="2" s="1"/>
  <c r="B5" i="30"/>
  <c r="J5" i="30" s="1"/>
  <c r="C73" i="2" s="1"/>
  <c r="S26" i="27"/>
  <c r="E9" i="28"/>
  <c r="U12" i="30"/>
  <c r="U11" i="30"/>
  <c r="B34" i="2"/>
  <c r="C34" i="2"/>
  <c r="K74" i="2"/>
  <c r="J74" i="2"/>
  <c r="I74" i="2"/>
  <c r="H74" i="2"/>
  <c r="G74" i="2"/>
  <c r="F74" i="2"/>
  <c r="E74" i="2"/>
  <c r="D74" i="2"/>
  <c r="C74" i="2"/>
  <c r="B74" i="2"/>
  <c r="D14" i="30"/>
  <c r="E6" i="30"/>
  <c r="E7" i="30"/>
  <c r="E8" i="30"/>
  <c r="E9" i="30"/>
  <c r="E10" i="30"/>
  <c r="E11" i="30"/>
  <c r="E12" i="30"/>
  <c r="E13" i="30"/>
  <c r="E5" i="30"/>
  <c r="K13" i="30"/>
  <c r="I13" i="30"/>
  <c r="K12" i="30"/>
  <c r="I12" i="30"/>
  <c r="K11" i="30"/>
  <c r="I11" i="30"/>
  <c r="K10" i="30"/>
  <c r="I10" i="30"/>
  <c r="K9" i="30"/>
  <c r="I9" i="30"/>
  <c r="K8" i="30"/>
  <c r="I8" i="30"/>
  <c r="K7" i="30"/>
  <c r="I7" i="30"/>
  <c r="K6" i="30"/>
  <c r="I6" i="30"/>
  <c r="I5" i="30"/>
  <c r="K5" i="30" s="1"/>
  <c r="I4" i="30"/>
  <c r="K6" i="26"/>
  <c r="K7" i="26"/>
  <c r="K8" i="26"/>
  <c r="K9" i="26"/>
  <c r="K11" i="26"/>
  <c r="K12" i="26"/>
  <c r="K13" i="26"/>
  <c r="K5" i="26"/>
  <c r="E6" i="26"/>
  <c r="E7" i="26"/>
  <c r="E8" i="26"/>
  <c r="E9" i="26"/>
  <c r="E10" i="26"/>
  <c r="E11" i="26"/>
  <c r="E12" i="26"/>
  <c r="E13" i="26"/>
  <c r="E5" i="26"/>
  <c r="K5" i="28"/>
  <c r="D14" i="27"/>
  <c r="K6" i="27"/>
  <c r="K7" i="27"/>
  <c r="K8" i="27"/>
  <c r="K9" i="27"/>
  <c r="K10" i="27"/>
  <c r="K11" i="27"/>
  <c r="K12" i="27"/>
  <c r="K13" i="27"/>
  <c r="K6" i="28"/>
  <c r="K7" i="28"/>
  <c r="K8" i="28"/>
  <c r="K9" i="28"/>
  <c r="K10" i="28"/>
  <c r="K11" i="28"/>
  <c r="K12" i="28"/>
  <c r="K13" i="28"/>
  <c r="E6" i="27"/>
  <c r="E7" i="27"/>
  <c r="E8" i="27"/>
  <c r="E9" i="27"/>
  <c r="E10" i="27"/>
  <c r="E11" i="27"/>
  <c r="G11" i="27" s="1"/>
  <c r="E12" i="27"/>
  <c r="G12" i="27" s="1"/>
  <c r="E13" i="27"/>
  <c r="E5" i="27"/>
  <c r="C11" i="27"/>
  <c r="C12" i="27"/>
  <c r="C13" i="27"/>
  <c r="D14" i="28"/>
  <c r="E6" i="28"/>
  <c r="E7" i="28"/>
  <c r="E8" i="28"/>
  <c r="E10" i="28"/>
  <c r="E11" i="28"/>
  <c r="E12" i="28"/>
  <c r="E13" i="28"/>
  <c r="C13" i="28"/>
  <c r="F75" i="34"/>
  <c r="F74" i="34"/>
  <c r="F73" i="34"/>
  <c r="F72" i="34"/>
  <c r="E73" i="34"/>
  <c r="E74" i="34" s="1"/>
  <c r="E75" i="34" s="1"/>
  <c r="K58" i="2"/>
  <c r="J58" i="2"/>
  <c r="I58" i="2"/>
  <c r="H58" i="2"/>
  <c r="G58" i="2"/>
  <c r="F58" i="2"/>
  <c r="E58" i="2"/>
  <c r="D58" i="2"/>
  <c r="C58" i="2"/>
  <c r="B58" i="2"/>
  <c r="K48" i="2"/>
  <c r="J48" i="2"/>
  <c r="I48" i="2"/>
  <c r="H48" i="2"/>
  <c r="G48" i="2"/>
  <c r="F48" i="2"/>
  <c r="E48" i="2"/>
  <c r="D48" i="2"/>
  <c r="C48" i="2"/>
  <c r="B48" i="2"/>
  <c r="K38" i="2"/>
  <c r="J38" i="2"/>
  <c r="I38" i="2"/>
  <c r="H38" i="2"/>
  <c r="G38" i="2"/>
  <c r="F38" i="2"/>
  <c r="E38" i="2"/>
  <c r="D38" i="2"/>
  <c r="C38" i="2"/>
  <c r="B38" i="2"/>
  <c r="I5" i="28"/>
  <c r="I6" i="28"/>
  <c r="I7" i="28"/>
  <c r="I8" i="28"/>
  <c r="I9" i="28"/>
  <c r="I10" i="28"/>
  <c r="I11" i="28"/>
  <c r="I12" i="28"/>
  <c r="I13" i="28"/>
  <c r="I4" i="28"/>
  <c r="I5" i="26"/>
  <c r="I6" i="26"/>
  <c r="I7" i="26"/>
  <c r="I8" i="26"/>
  <c r="I9" i="26"/>
  <c r="I10" i="26"/>
  <c r="K10" i="26" s="1"/>
  <c r="I11" i="26"/>
  <c r="I12" i="26"/>
  <c r="I13" i="26"/>
  <c r="I4" i="26"/>
  <c r="I5" i="27"/>
  <c r="K5" i="27" s="1"/>
  <c r="I6" i="27"/>
  <c r="I7" i="27"/>
  <c r="I8" i="27"/>
  <c r="I9" i="27"/>
  <c r="I10" i="27"/>
  <c r="I11" i="27"/>
  <c r="I12" i="27"/>
  <c r="I13" i="27"/>
  <c r="I4" i="27"/>
  <c r="E62" i="34"/>
  <c r="E63" i="34" s="1"/>
  <c r="E64" i="34" s="1"/>
  <c r="E65" i="34" s="1"/>
  <c r="E66" i="34" s="1"/>
  <c r="E67" i="34" s="1"/>
  <c r="E68" i="34" s="1"/>
  <c r="E69" i="34" s="1"/>
  <c r="E70" i="34" s="1"/>
  <c r="E71" i="34" s="1"/>
  <c r="D62" i="34"/>
  <c r="D63" i="34" s="1"/>
  <c r="D64" i="34" s="1"/>
  <c r="D65" i="34" s="1"/>
  <c r="D66" i="34" s="1"/>
  <c r="D67" i="34" s="1"/>
  <c r="D68" i="34" s="1"/>
  <c r="D69" i="34" s="1"/>
  <c r="D70" i="34" s="1"/>
  <c r="D71" i="34" s="1"/>
  <c r="C62" i="34"/>
  <c r="C63" i="34" s="1"/>
  <c r="C64" i="34" s="1"/>
  <c r="C65" i="34" s="1"/>
  <c r="C66" i="34" s="1"/>
  <c r="C67" i="34" s="1"/>
  <c r="C68" i="34" s="1"/>
  <c r="C69" i="34" s="1"/>
  <c r="C70" i="34" s="1"/>
  <c r="C71" i="34" s="1"/>
  <c r="A62" i="34"/>
  <c r="A63" i="34" s="1"/>
  <c r="A64" i="34" s="1"/>
  <c r="A65" i="34" s="1"/>
  <c r="A66" i="34" s="1"/>
  <c r="A67" i="34" s="1"/>
  <c r="A68" i="34" s="1"/>
  <c r="A69" i="34" s="1"/>
  <c r="A70" i="34" s="1"/>
  <c r="A71" i="34" s="1"/>
  <c r="F62" i="34"/>
  <c r="F63" i="34"/>
  <c r="F64" i="34"/>
  <c r="F65" i="34"/>
  <c r="F66" i="34"/>
  <c r="F67" i="34"/>
  <c r="F68" i="34"/>
  <c r="F69" i="34"/>
  <c r="F70" i="34"/>
  <c r="F71" i="34"/>
  <c r="E52" i="34"/>
  <c r="E53" i="34" s="1"/>
  <c r="E54" i="34" s="1"/>
  <c r="E55" i="34" s="1"/>
  <c r="E56" i="34" s="1"/>
  <c r="E57" i="34" s="1"/>
  <c r="E58" i="34" s="1"/>
  <c r="E59" i="34" s="1"/>
  <c r="E60" i="34" s="1"/>
  <c r="E61" i="34" s="1"/>
  <c r="D52" i="34"/>
  <c r="D53" i="34" s="1"/>
  <c r="D54" i="34" s="1"/>
  <c r="D55" i="34" s="1"/>
  <c r="D56" i="34" s="1"/>
  <c r="D57" i="34" s="1"/>
  <c r="D58" i="34" s="1"/>
  <c r="D59" i="34" s="1"/>
  <c r="D60" i="34" s="1"/>
  <c r="D61" i="34" s="1"/>
  <c r="C52" i="34"/>
  <c r="C53" i="34" s="1"/>
  <c r="C54" i="34" s="1"/>
  <c r="C55" i="34" s="1"/>
  <c r="C56" i="34" s="1"/>
  <c r="C57" i="34" s="1"/>
  <c r="C58" i="34" s="1"/>
  <c r="C59" i="34" s="1"/>
  <c r="C60" i="34" s="1"/>
  <c r="C61" i="34" s="1"/>
  <c r="A52" i="34"/>
  <c r="A53" i="34" s="1"/>
  <c r="A54" i="34" s="1"/>
  <c r="A55" i="34" s="1"/>
  <c r="A56" i="34" s="1"/>
  <c r="A57" i="34" s="1"/>
  <c r="A58" i="34" s="1"/>
  <c r="A59" i="34" s="1"/>
  <c r="A60" i="34" s="1"/>
  <c r="A61" i="34" s="1"/>
  <c r="F52" i="34"/>
  <c r="F53" i="34"/>
  <c r="F54" i="34"/>
  <c r="F55" i="34"/>
  <c r="F56" i="34"/>
  <c r="F57" i="34"/>
  <c r="F58" i="34"/>
  <c r="F59" i="34"/>
  <c r="F60" i="34"/>
  <c r="F61" i="34"/>
  <c r="E42" i="34"/>
  <c r="E43" i="34" s="1"/>
  <c r="E44" i="34" s="1"/>
  <c r="E45" i="34" s="1"/>
  <c r="E46" i="34" s="1"/>
  <c r="E47" i="34" s="1"/>
  <c r="E48" i="34" s="1"/>
  <c r="E49" i="34" s="1"/>
  <c r="E50" i="34" s="1"/>
  <c r="E51" i="34" s="1"/>
  <c r="D42" i="34"/>
  <c r="C42" i="34"/>
  <c r="C43" i="34" s="1"/>
  <c r="C44" i="34" s="1"/>
  <c r="C45" i="34" s="1"/>
  <c r="C46" i="34" s="1"/>
  <c r="C47" i="34" s="1"/>
  <c r="C48" i="34" s="1"/>
  <c r="C49" i="34" s="1"/>
  <c r="C50" i="34" s="1"/>
  <c r="C51" i="34" s="1"/>
  <c r="A42" i="34"/>
  <c r="A43" i="34" s="1"/>
  <c r="A44" i="34" s="1"/>
  <c r="A45" i="34" s="1"/>
  <c r="A46" i="34" s="1"/>
  <c r="A47" i="34" s="1"/>
  <c r="A48" i="34" s="1"/>
  <c r="A49" i="34" s="1"/>
  <c r="A50" i="34" s="1"/>
  <c r="A51" i="34" s="1"/>
  <c r="F42" i="34"/>
  <c r="F43" i="34"/>
  <c r="F44" i="34"/>
  <c r="F45" i="34"/>
  <c r="F46" i="34"/>
  <c r="F47" i="34"/>
  <c r="F48" i="34"/>
  <c r="F49" i="34"/>
  <c r="F50" i="34"/>
  <c r="F51" i="34"/>
  <c r="E32" i="34"/>
  <c r="E33" i="34" s="1"/>
  <c r="E34" i="34" s="1"/>
  <c r="E35" i="34" s="1"/>
  <c r="E36" i="34" s="1"/>
  <c r="E37" i="34" s="1"/>
  <c r="E38" i="34" s="1"/>
  <c r="E39" i="34" s="1"/>
  <c r="E40" i="34" s="1"/>
  <c r="E41" i="34" s="1"/>
  <c r="D32" i="34"/>
  <c r="D33" i="34" s="1"/>
  <c r="D34" i="34" s="1"/>
  <c r="D35" i="34" s="1"/>
  <c r="D36" i="34" s="1"/>
  <c r="D37" i="34" s="1"/>
  <c r="D38" i="34" s="1"/>
  <c r="D39" i="34" s="1"/>
  <c r="D40" i="34" s="1"/>
  <c r="D41" i="34" s="1"/>
  <c r="C32" i="34"/>
  <c r="C33" i="34" s="1"/>
  <c r="C34" i="34" s="1"/>
  <c r="C35" i="34" s="1"/>
  <c r="C36" i="34" s="1"/>
  <c r="C37" i="34" s="1"/>
  <c r="C38" i="34" s="1"/>
  <c r="C39" i="34" s="1"/>
  <c r="C40" i="34" s="1"/>
  <c r="C41" i="34" s="1"/>
  <c r="A32" i="34"/>
  <c r="A33" i="34" s="1"/>
  <c r="A34" i="34" s="1"/>
  <c r="A35" i="34" s="1"/>
  <c r="A36" i="34" s="1"/>
  <c r="A37" i="34" s="1"/>
  <c r="A38" i="34" s="1"/>
  <c r="A39" i="34" s="1"/>
  <c r="A40" i="34" s="1"/>
  <c r="A41" i="34" s="1"/>
  <c r="F32" i="34"/>
  <c r="F33" i="34"/>
  <c r="F34" i="34"/>
  <c r="F35" i="34"/>
  <c r="F36" i="34"/>
  <c r="F37" i="34"/>
  <c r="F38" i="34"/>
  <c r="F39" i="34"/>
  <c r="F40" i="34"/>
  <c r="F41" i="34"/>
  <c r="E22" i="34"/>
  <c r="E23" i="34" s="1"/>
  <c r="E24" i="34" s="1"/>
  <c r="E25" i="34" s="1"/>
  <c r="E26" i="34" s="1"/>
  <c r="E27" i="34" s="1"/>
  <c r="E28" i="34" s="1"/>
  <c r="E29" i="34" s="1"/>
  <c r="E30" i="34" s="1"/>
  <c r="E31" i="34" s="1"/>
  <c r="D22" i="34"/>
  <c r="D23" i="34" s="1"/>
  <c r="D24" i="34" s="1"/>
  <c r="D25" i="34" s="1"/>
  <c r="D26" i="34" s="1"/>
  <c r="D27" i="34" s="1"/>
  <c r="D28" i="34" s="1"/>
  <c r="D29" i="34" s="1"/>
  <c r="D30" i="34" s="1"/>
  <c r="D31" i="34" s="1"/>
  <c r="C22" i="34"/>
  <c r="C23" i="34" s="1"/>
  <c r="C24" i="34" s="1"/>
  <c r="C25" i="34" s="1"/>
  <c r="C26" i="34" s="1"/>
  <c r="C27" i="34" s="1"/>
  <c r="C28" i="34" s="1"/>
  <c r="C29" i="34" s="1"/>
  <c r="C30" i="34" s="1"/>
  <c r="C31" i="34" s="1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F22" i="34"/>
  <c r="F23" i="34"/>
  <c r="F24" i="34"/>
  <c r="F25" i="34"/>
  <c r="F26" i="34"/>
  <c r="F27" i="34"/>
  <c r="F28" i="34"/>
  <c r="F29" i="34"/>
  <c r="F30" i="34"/>
  <c r="F31" i="34"/>
  <c r="E12" i="34"/>
  <c r="E13" i="34" s="1"/>
  <c r="E14" i="34" s="1"/>
  <c r="E15" i="34" s="1"/>
  <c r="E16" i="34" s="1"/>
  <c r="E17" i="34" s="1"/>
  <c r="E18" i="34" s="1"/>
  <c r="E19" i="34" s="1"/>
  <c r="E20" i="34" s="1"/>
  <c r="E21" i="34" s="1"/>
  <c r="D12" i="34"/>
  <c r="D13" i="34" s="1"/>
  <c r="D14" i="34" s="1"/>
  <c r="D15" i="34" s="1"/>
  <c r="D16" i="34" s="1"/>
  <c r="D17" i="34" s="1"/>
  <c r="D18" i="34" s="1"/>
  <c r="D19" i="34" s="1"/>
  <c r="D20" i="34" s="1"/>
  <c r="D21" i="34" s="1"/>
  <c r="C12" i="34"/>
  <c r="C13" i="34" s="1"/>
  <c r="C14" i="34" s="1"/>
  <c r="C15" i="34" s="1"/>
  <c r="C16" i="34" s="1"/>
  <c r="C17" i="34" s="1"/>
  <c r="C18" i="34" s="1"/>
  <c r="C19" i="34" s="1"/>
  <c r="C20" i="34" s="1"/>
  <c r="C21" i="34" s="1"/>
  <c r="A12" i="34"/>
  <c r="A13" i="34" s="1"/>
  <c r="A14" i="34" s="1"/>
  <c r="A15" i="34" s="1"/>
  <c r="A16" i="34" s="1"/>
  <c r="A17" i="34" s="1"/>
  <c r="A18" i="34" s="1"/>
  <c r="A19" i="34" s="1"/>
  <c r="A20" i="34" s="1"/>
  <c r="A21" i="34" s="1"/>
  <c r="F12" i="34"/>
  <c r="F13" i="34"/>
  <c r="F14" i="34"/>
  <c r="F15" i="34"/>
  <c r="F16" i="34"/>
  <c r="F17" i="34"/>
  <c r="F18" i="34"/>
  <c r="F19" i="34"/>
  <c r="F20" i="34"/>
  <c r="F21" i="34"/>
  <c r="E11" i="34"/>
  <c r="D11" i="34"/>
  <c r="C11" i="34"/>
  <c r="A2" i="34"/>
  <c r="A3" i="34" s="1"/>
  <c r="A4" i="34" s="1"/>
  <c r="A5" i="34" s="1"/>
  <c r="A6" i="34" s="1"/>
  <c r="A7" i="34" s="1"/>
  <c r="A8" i="34" s="1"/>
  <c r="A9" i="34" s="1"/>
  <c r="A10" i="34" s="1"/>
  <c r="A11" i="34" s="1"/>
  <c r="F3" i="34"/>
  <c r="F4" i="34"/>
  <c r="F5" i="34"/>
  <c r="F6" i="34"/>
  <c r="F7" i="34"/>
  <c r="F8" i="34"/>
  <c r="F9" i="34"/>
  <c r="F10" i="34"/>
  <c r="F11" i="34"/>
  <c r="F2" i="34"/>
  <c r="E10" i="34"/>
  <c r="E9" i="34"/>
  <c r="E8" i="34"/>
  <c r="E7" i="34"/>
  <c r="E6" i="34"/>
  <c r="E5" i="34"/>
  <c r="E4" i="34"/>
  <c r="E3" i="34"/>
  <c r="E2" i="34"/>
  <c r="C10" i="34"/>
  <c r="C9" i="34"/>
  <c r="C8" i="34"/>
  <c r="C7" i="34"/>
  <c r="C6" i="34"/>
  <c r="C5" i="34"/>
  <c r="C4" i="34"/>
  <c r="C3" i="34"/>
  <c r="C2" i="34"/>
  <c r="D2" i="34"/>
  <c r="D3" i="34"/>
  <c r="D4" i="34"/>
  <c r="D5" i="34"/>
  <c r="D6" i="34"/>
  <c r="D7" i="34"/>
  <c r="D8" i="34"/>
  <c r="D9" i="34"/>
  <c r="D10" i="34"/>
  <c r="A2" i="30"/>
  <c r="A2" i="29"/>
  <c r="A2" i="28"/>
  <c r="A2" i="26"/>
  <c r="A2" i="27"/>
  <c r="A2" i="24"/>
  <c r="A2" i="18"/>
  <c r="A2" i="17"/>
  <c r="F14" i="26" l="1"/>
  <c r="C4" i="30"/>
  <c r="B14" i="30"/>
  <c r="J14" i="30" s="1"/>
  <c r="G13" i="27"/>
  <c r="C4" i="27"/>
  <c r="C5" i="27" s="1"/>
  <c r="B14" i="27"/>
  <c r="J14" i="27" s="1"/>
  <c r="G12" i="26"/>
  <c r="B14" i="28"/>
  <c r="J4" i="17"/>
  <c r="C6" i="26"/>
  <c r="J4" i="26"/>
  <c r="B47" i="2" s="1"/>
  <c r="G5" i="18"/>
  <c r="C14" i="18"/>
  <c r="G13" i="28"/>
  <c r="L20" i="2"/>
  <c r="L10" i="2"/>
  <c r="L74" i="2"/>
  <c r="K4" i="18"/>
  <c r="J4" i="18"/>
  <c r="B9" i="2" s="1"/>
  <c r="G11" i="26"/>
  <c r="J4" i="27"/>
  <c r="B37" i="2" s="1"/>
  <c r="G13" i="26"/>
  <c r="G5" i="26"/>
  <c r="D43" i="34"/>
  <c r="D44" i="34" s="1"/>
  <c r="D45" i="34" s="1"/>
  <c r="D46" i="34" s="1"/>
  <c r="D47" i="34" s="1"/>
  <c r="D48" i="34" s="1"/>
  <c r="D49" i="34" s="1"/>
  <c r="D50" i="34" s="1"/>
  <c r="D51" i="34" s="1"/>
  <c r="L58" i="2"/>
  <c r="L48" i="2"/>
  <c r="L38" i="2"/>
  <c r="J70" i="2"/>
  <c r="K70" i="2"/>
  <c r="I70" i="2"/>
  <c r="H70" i="2"/>
  <c r="G70" i="2"/>
  <c r="F70" i="2"/>
  <c r="E70" i="2"/>
  <c r="D70" i="2"/>
  <c r="C70" i="2"/>
  <c r="B70" i="2"/>
  <c r="K67" i="2"/>
  <c r="H67" i="2"/>
  <c r="A67" i="2"/>
  <c r="F13" i="30"/>
  <c r="K69" i="2" s="1"/>
  <c r="K72" i="2"/>
  <c r="F12" i="30"/>
  <c r="J69" i="2" s="1"/>
  <c r="J72" i="2"/>
  <c r="F11" i="30"/>
  <c r="I69" i="2" s="1"/>
  <c r="I72" i="2"/>
  <c r="F10" i="30"/>
  <c r="H69" i="2" s="1"/>
  <c r="H72" i="2"/>
  <c r="F9" i="30"/>
  <c r="G69" i="2" s="1"/>
  <c r="G72" i="2"/>
  <c r="F8" i="30"/>
  <c r="F69" i="2" s="1"/>
  <c r="F72" i="2"/>
  <c r="F7" i="30"/>
  <c r="E69" i="2" s="1"/>
  <c r="E72" i="2"/>
  <c r="F6" i="30"/>
  <c r="D69" i="2" s="1"/>
  <c r="D72" i="2"/>
  <c r="F5" i="30"/>
  <c r="C69" i="2" s="1"/>
  <c r="F4" i="30"/>
  <c r="B69" i="2" s="1"/>
  <c r="E4" i="30"/>
  <c r="B72" i="2" s="1"/>
  <c r="C6" i="30"/>
  <c r="C7" i="30" s="1"/>
  <c r="J64" i="2"/>
  <c r="I64" i="2"/>
  <c r="F64" i="2"/>
  <c r="E64" i="2"/>
  <c r="B64" i="2"/>
  <c r="K62" i="2"/>
  <c r="J62" i="2"/>
  <c r="I62" i="2"/>
  <c r="H62" i="2"/>
  <c r="G62" i="2"/>
  <c r="F62" i="2"/>
  <c r="E62" i="2"/>
  <c r="D62" i="2"/>
  <c r="C62" i="2"/>
  <c r="B62" i="2"/>
  <c r="K61" i="2"/>
  <c r="G61" i="2"/>
  <c r="C61" i="2"/>
  <c r="K59" i="2"/>
  <c r="H59" i="2"/>
  <c r="A59" i="2"/>
  <c r="K54" i="2"/>
  <c r="J54" i="2"/>
  <c r="I54" i="2"/>
  <c r="H54" i="2"/>
  <c r="G54" i="2"/>
  <c r="F54" i="2"/>
  <c r="E54" i="2"/>
  <c r="D54" i="2"/>
  <c r="C54" i="2"/>
  <c r="B54" i="2"/>
  <c r="K51" i="2"/>
  <c r="H51" i="2"/>
  <c r="A51" i="2"/>
  <c r="F13" i="29"/>
  <c r="E13" i="29"/>
  <c r="K64" i="2" s="1"/>
  <c r="F12" i="29"/>
  <c r="J61" i="2" s="1"/>
  <c r="E12" i="29"/>
  <c r="F11" i="29"/>
  <c r="I61" i="2" s="1"/>
  <c r="E11" i="29"/>
  <c r="F10" i="29"/>
  <c r="H61" i="2" s="1"/>
  <c r="E10" i="29"/>
  <c r="H64" i="2" s="1"/>
  <c r="F9" i="29"/>
  <c r="E9" i="29"/>
  <c r="G64" i="2" s="1"/>
  <c r="F8" i="29"/>
  <c r="F61" i="2" s="1"/>
  <c r="E8" i="29"/>
  <c r="F7" i="29"/>
  <c r="E61" i="2" s="1"/>
  <c r="E7" i="29"/>
  <c r="F6" i="29"/>
  <c r="D61" i="2" s="1"/>
  <c r="E6" i="29"/>
  <c r="D64" i="2" s="1"/>
  <c r="F5" i="29"/>
  <c r="E5" i="29"/>
  <c r="C64" i="2" s="1"/>
  <c r="F4" i="29"/>
  <c r="B61" i="2" s="1"/>
  <c r="E4" i="29"/>
  <c r="C4" i="29"/>
  <c r="C5" i="29" s="1"/>
  <c r="F13" i="28"/>
  <c r="K53" i="2" s="1"/>
  <c r="K56" i="2"/>
  <c r="F12" i="28"/>
  <c r="J53" i="2" s="1"/>
  <c r="J56" i="2"/>
  <c r="F11" i="28"/>
  <c r="I53" i="2" s="1"/>
  <c r="I56" i="2"/>
  <c r="F10" i="28"/>
  <c r="H53" i="2" s="1"/>
  <c r="H56" i="2"/>
  <c r="F9" i="28"/>
  <c r="G53" i="2" s="1"/>
  <c r="G56" i="2"/>
  <c r="F8" i="28"/>
  <c r="F53" i="2" s="1"/>
  <c r="F56" i="2"/>
  <c r="F7" i="28"/>
  <c r="E53" i="2" s="1"/>
  <c r="E56" i="2"/>
  <c r="F6" i="28"/>
  <c r="D53" i="2" s="1"/>
  <c r="D56" i="2"/>
  <c r="F5" i="28"/>
  <c r="C53" i="2" s="1"/>
  <c r="C56" i="2"/>
  <c r="F4" i="28"/>
  <c r="B53" i="2" s="1"/>
  <c r="E4" i="28"/>
  <c r="B56" i="2" s="1"/>
  <c r="E4" i="24"/>
  <c r="E4" i="18"/>
  <c r="G6" i="18"/>
  <c r="G7" i="18"/>
  <c r="G8" i="18"/>
  <c r="G9" i="18"/>
  <c r="G10" i="18"/>
  <c r="G11" i="18"/>
  <c r="G12" i="18"/>
  <c r="G13" i="18"/>
  <c r="A2" i="2" l="1"/>
  <c r="G6" i="26"/>
  <c r="C7" i="26"/>
  <c r="L9" i="2"/>
  <c r="K4" i="28"/>
  <c r="G6" i="30"/>
  <c r="D71" i="2" s="1"/>
  <c r="K4" i="30"/>
  <c r="G5" i="30"/>
  <c r="C71" i="2" s="1"/>
  <c r="L53" i="2"/>
  <c r="G4" i="30"/>
  <c r="B71" i="2" s="1"/>
  <c r="C72" i="2"/>
  <c r="G4" i="28"/>
  <c r="B55" i="2" s="1"/>
  <c r="L69" i="2"/>
  <c r="L61" i="2"/>
  <c r="C6" i="29"/>
  <c r="G5" i="29"/>
  <c r="C63" i="2" s="1"/>
  <c r="G4" i="29"/>
  <c r="B63" i="2" s="1"/>
  <c r="K44" i="2"/>
  <c r="J44" i="2"/>
  <c r="I44" i="2"/>
  <c r="H44" i="2"/>
  <c r="G44" i="2"/>
  <c r="F44" i="2"/>
  <c r="E44" i="2"/>
  <c r="D44" i="2"/>
  <c r="C44" i="2"/>
  <c r="B44" i="2"/>
  <c r="K41" i="2"/>
  <c r="H41" i="2"/>
  <c r="A41" i="2"/>
  <c r="K34" i="2"/>
  <c r="J34" i="2"/>
  <c r="I34" i="2"/>
  <c r="H34" i="2"/>
  <c r="G34" i="2"/>
  <c r="F34" i="2"/>
  <c r="E34" i="2"/>
  <c r="D34" i="2"/>
  <c r="K31" i="2"/>
  <c r="H31" i="2"/>
  <c r="A31" i="2"/>
  <c r="K23" i="2"/>
  <c r="H23" i="2"/>
  <c r="K13" i="2"/>
  <c r="H13" i="2"/>
  <c r="K3" i="2"/>
  <c r="H3" i="2"/>
  <c r="C8" i="26" l="1"/>
  <c r="G7" i="26"/>
  <c r="C8" i="30"/>
  <c r="G7" i="30"/>
  <c r="E71" i="2" s="1"/>
  <c r="C6" i="28"/>
  <c r="C7" i="28" s="1"/>
  <c r="G5" i="28"/>
  <c r="C55" i="2" s="1"/>
  <c r="C7" i="29"/>
  <c r="G6" i="29"/>
  <c r="D63" i="2" s="1"/>
  <c r="L43" i="2"/>
  <c r="L33" i="2"/>
  <c r="H28" i="2"/>
  <c r="G28" i="2"/>
  <c r="F28" i="2"/>
  <c r="C28" i="2"/>
  <c r="B28" i="2"/>
  <c r="K26" i="2"/>
  <c r="J26" i="2"/>
  <c r="I26" i="2"/>
  <c r="H26" i="2"/>
  <c r="G26" i="2"/>
  <c r="F26" i="2"/>
  <c r="E26" i="2"/>
  <c r="D26" i="2"/>
  <c r="C26" i="2"/>
  <c r="B26" i="2"/>
  <c r="A23" i="2"/>
  <c r="K16" i="2"/>
  <c r="J16" i="2"/>
  <c r="I16" i="2"/>
  <c r="H16" i="2"/>
  <c r="G16" i="2"/>
  <c r="F16" i="2"/>
  <c r="E16" i="2"/>
  <c r="D16" i="2"/>
  <c r="C16" i="2"/>
  <c r="B16" i="2"/>
  <c r="A13" i="2"/>
  <c r="A3" i="2"/>
  <c r="F8" i="2"/>
  <c r="B8" i="2"/>
  <c r="K6" i="2"/>
  <c r="J6" i="2"/>
  <c r="H6" i="2"/>
  <c r="I6" i="2"/>
  <c r="G6" i="2"/>
  <c r="F6" i="2"/>
  <c r="E6" i="2"/>
  <c r="D6" i="2"/>
  <c r="C6" i="2"/>
  <c r="B6" i="2"/>
  <c r="F13" i="27"/>
  <c r="K33" i="2" s="1"/>
  <c r="K36" i="2"/>
  <c r="F12" i="27"/>
  <c r="J33" i="2" s="1"/>
  <c r="J36" i="2"/>
  <c r="F11" i="27"/>
  <c r="I33" i="2" s="1"/>
  <c r="I36" i="2"/>
  <c r="F10" i="27"/>
  <c r="H33" i="2" s="1"/>
  <c r="H36" i="2"/>
  <c r="F9" i="27"/>
  <c r="G33" i="2" s="1"/>
  <c r="G36" i="2"/>
  <c r="F8" i="27"/>
  <c r="F33" i="2" s="1"/>
  <c r="F36" i="2"/>
  <c r="F7" i="27"/>
  <c r="E33" i="2" s="1"/>
  <c r="E36" i="2"/>
  <c r="F6" i="27"/>
  <c r="D33" i="2" s="1"/>
  <c r="D36" i="2"/>
  <c r="F5" i="27"/>
  <c r="C33" i="2" s="1"/>
  <c r="C36" i="2"/>
  <c r="B33" i="2"/>
  <c r="E4" i="27"/>
  <c r="B36" i="2" s="1"/>
  <c r="F13" i="26"/>
  <c r="K43" i="2" s="1"/>
  <c r="F12" i="26"/>
  <c r="J43" i="2" s="1"/>
  <c r="J46" i="2"/>
  <c r="F11" i="26"/>
  <c r="I43" i="2" s="1"/>
  <c r="F10" i="26"/>
  <c r="H43" i="2" s="1"/>
  <c r="F9" i="26"/>
  <c r="G43" i="2" s="1"/>
  <c r="F8" i="26"/>
  <c r="F43" i="2" s="1"/>
  <c r="F7" i="26"/>
  <c r="E43" i="2" s="1"/>
  <c r="F6" i="26"/>
  <c r="D43" i="2" s="1"/>
  <c r="F5" i="26"/>
  <c r="C43" i="2" s="1"/>
  <c r="F4" i="26"/>
  <c r="B43" i="2" s="1"/>
  <c r="E4" i="26"/>
  <c r="F13" i="24"/>
  <c r="K25" i="2" s="1"/>
  <c r="K28" i="2"/>
  <c r="F12" i="24"/>
  <c r="J25" i="2" s="1"/>
  <c r="J28" i="2"/>
  <c r="F11" i="24"/>
  <c r="I25" i="2" s="1"/>
  <c r="I28" i="2"/>
  <c r="F10" i="24"/>
  <c r="H25" i="2" s="1"/>
  <c r="F9" i="24"/>
  <c r="G25" i="2" s="1"/>
  <c r="F8" i="24"/>
  <c r="F25" i="2" s="1"/>
  <c r="F7" i="24"/>
  <c r="E25" i="2" s="1"/>
  <c r="E28" i="2"/>
  <c r="F6" i="24"/>
  <c r="D25" i="2" s="1"/>
  <c r="D28" i="2"/>
  <c r="F5" i="24"/>
  <c r="C25" i="2" s="1"/>
  <c r="F4" i="24"/>
  <c r="B25" i="2" s="1"/>
  <c r="F13" i="18"/>
  <c r="K5" i="2" s="1"/>
  <c r="K8" i="2"/>
  <c r="F12" i="18"/>
  <c r="J5" i="2" s="1"/>
  <c r="J8" i="2"/>
  <c r="F11" i="18"/>
  <c r="I5" i="2" s="1"/>
  <c r="I8" i="2"/>
  <c r="F10" i="18"/>
  <c r="H5" i="2" s="1"/>
  <c r="H8" i="2"/>
  <c r="F9" i="18"/>
  <c r="G5" i="2" s="1"/>
  <c r="G8" i="2"/>
  <c r="F8" i="18"/>
  <c r="F5" i="2" s="1"/>
  <c r="F7" i="18"/>
  <c r="E5" i="2" s="1"/>
  <c r="E8" i="2"/>
  <c r="F6" i="18"/>
  <c r="D5" i="2" s="1"/>
  <c r="D8" i="2"/>
  <c r="F5" i="18"/>
  <c r="C5" i="2" s="1"/>
  <c r="C8" i="2"/>
  <c r="F4" i="18"/>
  <c r="B5" i="2" s="1"/>
  <c r="F13" i="17"/>
  <c r="K15" i="2" s="1"/>
  <c r="K18" i="2"/>
  <c r="F12" i="17"/>
  <c r="J15" i="2" s="1"/>
  <c r="J18" i="2"/>
  <c r="F11" i="17"/>
  <c r="I18" i="2"/>
  <c r="F10" i="17"/>
  <c r="I15" i="2" s="1"/>
  <c r="F9" i="17"/>
  <c r="G15" i="2" s="1"/>
  <c r="G18" i="2"/>
  <c r="F8" i="17"/>
  <c r="F15" i="2" s="1"/>
  <c r="F18" i="2"/>
  <c r="F7" i="17"/>
  <c r="E15" i="2" s="1"/>
  <c r="E18" i="2"/>
  <c r="F6" i="17"/>
  <c r="D15" i="2" s="1"/>
  <c r="D18" i="2"/>
  <c r="F5" i="17"/>
  <c r="C15" i="2" s="1"/>
  <c r="C18" i="2"/>
  <c r="F4" i="17"/>
  <c r="B15" i="2" s="1"/>
  <c r="E4" i="17"/>
  <c r="C9" i="26" l="1"/>
  <c r="G8" i="26"/>
  <c r="C17" i="2"/>
  <c r="K4" i="24"/>
  <c r="K4" i="17"/>
  <c r="K4" i="26"/>
  <c r="G6" i="28"/>
  <c r="D55" i="2" s="1"/>
  <c r="C6" i="27"/>
  <c r="C7" i="27" s="1"/>
  <c r="G5" i="27"/>
  <c r="C9" i="30"/>
  <c r="G8" i="30"/>
  <c r="F71" i="2" s="1"/>
  <c r="K4" i="27"/>
  <c r="G4" i="17"/>
  <c r="B17" i="2" s="1"/>
  <c r="C8" i="29"/>
  <c r="G7" i="29"/>
  <c r="E63" i="2" s="1"/>
  <c r="E46" i="2"/>
  <c r="I46" i="2"/>
  <c r="H46" i="2"/>
  <c r="F46" i="2"/>
  <c r="G4" i="26"/>
  <c r="B45" i="2" s="1"/>
  <c r="B46" i="2"/>
  <c r="C45" i="2"/>
  <c r="C46" i="2"/>
  <c r="G46" i="2"/>
  <c r="K46" i="2"/>
  <c r="D45" i="2"/>
  <c r="D46" i="2"/>
  <c r="H15" i="2"/>
  <c r="B18" i="2"/>
  <c r="H18" i="2"/>
  <c r="L25" i="2"/>
  <c r="L15" i="2"/>
  <c r="G4" i="27"/>
  <c r="B35" i="2" s="1"/>
  <c r="G4" i="24"/>
  <c r="B27" i="2" s="1"/>
  <c r="C7" i="2"/>
  <c r="G4" i="18"/>
  <c r="B7" i="2" s="1"/>
  <c r="C10" i="26" l="1"/>
  <c r="G9" i="26"/>
  <c r="C8" i="17"/>
  <c r="D17" i="2"/>
  <c r="G5" i="24"/>
  <c r="C27" i="2" s="1"/>
  <c r="C6" i="24"/>
  <c r="G6" i="27"/>
  <c r="C8" i="28"/>
  <c r="G7" i="28"/>
  <c r="E55" i="2" s="1"/>
  <c r="G9" i="30"/>
  <c r="G71" i="2" s="1"/>
  <c r="E45" i="2"/>
  <c r="C35" i="2"/>
  <c r="C9" i="29"/>
  <c r="G8" i="29"/>
  <c r="F63" i="2" s="1"/>
  <c r="D7" i="2"/>
  <c r="E17" i="2"/>
  <c r="G10" i="26" l="1"/>
  <c r="C14" i="26"/>
  <c r="G6" i="24"/>
  <c r="D27" i="2" s="1"/>
  <c r="C7" i="24"/>
  <c r="C9" i="17"/>
  <c r="F17" i="2"/>
  <c r="C11" i="17"/>
  <c r="C12" i="17" s="1"/>
  <c r="C13" i="17" s="1"/>
  <c r="C11" i="30"/>
  <c r="G10" i="30"/>
  <c r="H71" i="2" s="1"/>
  <c r="C8" i="27"/>
  <c r="G7" i="27"/>
  <c r="C9" i="28"/>
  <c r="G8" i="28"/>
  <c r="F55" i="2" s="1"/>
  <c r="F45" i="2"/>
  <c r="D35" i="2"/>
  <c r="C10" i="29"/>
  <c r="G9" i="29"/>
  <c r="G63" i="2" s="1"/>
  <c r="E7" i="2"/>
  <c r="L45" i="2" l="1"/>
  <c r="L47" i="2"/>
  <c r="C8" i="24"/>
  <c r="G7" i="24"/>
  <c r="E27" i="2" s="1"/>
  <c r="C10" i="17"/>
  <c r="G17" i="2"/>
  <c r="C9" i="27"/>
  <c r="G8" i="27"/>
  <c r="C10" i="28"/>
  <c r="G9" i="28"/>
  <c r="G55" i="2" s="1"/>
  <c r="C12" i="30"/>
  <c r="G11" i="30"/>
  <c r="I71" i="2" s="1"/>
  <c r="G45" i="2"/>
  <c r="E35" i="2"/>
  <c r="G10" i="29"/>
  <c r="H63" i="2" s="1"/>
  <c r="C11" i="29"/>
  <c r="F7" i="2"/>
  <c r="C14" i="17" l="1"/>
  <c r="L19" i="2" s="1"/>
  <c r="C9" i="24"/>
  <c r="G8" i="24"/>
  <c r="F27" i="2" s="1"/>
  <c r="C10" i="27"/>
  <c r="G10" i="27" s="1"/>
  <c r="G9" i="27"/>
  <c r="C11" i="28"/>
  <c r="G10" i="28"/>
  <c r="H55" i="2" s="1"/>
  <c r="C13" i="30"/>
  <c r="G13" i="30" s="1"/>
  <c r="K71" i="2" s="1"/>
  <c r="G12" i="30"/>
  <c r="J71" i="2" s="1"/>
  <c r="H45" i="2"/>
  <c r="F35" i="2"/>
  <c r="C12" i="29"/>
  <c r="G11" i="29"/>
  <c r="I63" i="2" s="1"/>
  <c r="G7" i="2"/>
  <c r="H17" i="2"/>
  <c r="L17" i="2" l="1"/>
  <c r="C10" i="24"/>
  <c r="G10" i="24" s="1"/>
  <c r="H27" i="2" s="1"/>
  <c r="G9" i="24"/>
  <c r="G27" i="2" s="1"/>
  <c r="C14" i="27"/>
  <c r="L37" i="2" s="1"/>
  <c r="C14" i="30"/>
  <c r="C12" i="28"/>
  <c r="G11" i="28"/>
  <c r="I55" i="2" s="1"/>
  <c r="G35" i="2"/>
  <c r="I45" i="2"/>
  <c r="C13" i="29"/>
  <c r="G12" i="29"/>
  <c r="J63" i="2" s="1"/>
  <c r="H35" i="2"/>
  <c r="H7" i="2"/>
  <c r="I17" i="2"/>
  <c r="L35" i="2" l="1"/>
  <c r="G12" i="28"/>
  <c r="J55" i="2" s="1"/>
  <c r="C14" i="28"/>
  <c r="L71" i="2"/>
  <c r="L73" i="2"/>
  <c r="J45" i="2"/>
  <c r="G13" i="29"/>
  <c r="K63" i="2" s="1"/>
  <c r="L63" i="2"/>
  <c r="K55" i="2"/>
  <c r="I35" i="2"/>
  <c r="I27" i="2"/>
  <c r="I7" i="2"/>
  <c r="J17" i="2"/>
  <c r="L55" i="2" l="1"/>
  <c r="L57" i="2"/>
  <c r="K45" i="2"/>
  <c r="K17" i="2"/>
  <c r="J35" i="2"/>
  <c r="J27" i="2"/>
  <c r="K7" i="2"/>
  <c r="J7" i="2"/>
  <c r="K35" i="2" l="1"/>
  <c r="K27" i="2"/>
  <c r="L27" i="2"/>
  <c r="L5" i="2"/>
  <c r="E2" i="2" s="1"/>
  <c r="J2" i="2" l="1"/>
</calcChain>
</file>

<file path=xl/sharedStrings.xml><?xml version="1.0" encoding="utf-8"?>
<sst xmlns="http://schemas.openxmlformats.org/spreadsheetml/2006/main" count="330" uniqueCount="45">
  <si>
    <t>MÓDULO 102</t>
  </si>
  <si>
    <t>HORA</t>
  </si>
  <si>
    <t>UDS X HORA</t>
  </si>
  <si>
    <t>ACUM</t>
  </si>
  <si>
    <t>UDS FABR</t>
  </si>
  <si>
    <t>UDS ACUM</t>
  </si>
  <si>
    <t>%PARCIAL</t>
  </si>
  <si>
    <t>%ACUM</t>
  </si>
  <si>
    <t>REF</t>
  </si>
  <si>
    <t>PO</t>
  </si>
  <si>
    <t>#PERSONAS</t>
  </si>
  <si>
    <t>COLOR</t>
  </si>
  <si>
    <t>COCOA</t>
  </si>
  <si>
    <t>MÓDULO 103</t>
  </si>
  <si>
    <t>MÓDULO 105</t>
  </si>
  <si>
    <t>MÓDULO 106</t>
  </si>
  <si>
    <t>ACUMULADO</t>
  </si>
  <si>
    <t>UDS FABRICADAS</t>
  </si>
  <si>
    <t>MÓDULO 110</t>
  </si>
  <si>
    <t>MÓDULO 118</t>
  </si>
  <si>
    <t>MÓDULO 133</t>
  </si>
  <si>
    <t>MÓDULO 200</t>
  </si>
  <si>
    <t>UNIDADES REALES PRODUCIDAS EN EL DÍA</t>
  </si>
  <si>
    <t>Total uds Día</t>
  </si>
  <si>
    <t>MODULO</t>
  </si>
  <si>
    <t>N P MODULO</t>
  </si>
  <si>
    <t>REFERENCIA</t>
  </si>
  <si>
    <t xml:space="preserve">FECHA </t>
  </si>
  <si>
    <t>NO CONFORME</t>
  </si>
  <si>
    <t>% PARC NO CONFORME</t>
  </si>
  <si>
    <t>ACUM NO CONFORME</t>
  </si>
  <si>
    <t>%ACUM NO CONFORME</t>
  </si>
  <si>
    <t>MODULO 110</t>
  </si>
  <si>
    <t>EFICIENCIA</t>
  </si>
  <si>
    <t>+(60*F[-18]C[-7])/19,2</t>
  </si>
  <si>
    <t/>
  </si>
  <si>
    <t>26 DE OCTUBRE 2022</t>
  </si>
  <si>
    <t>PARADO TAMPOGRAFIA</t>
  </si>
  <si>
    <t>Z1TOOO281</t>
  </si>
  <si>
    <t>Z1B000236</t>
  </si>
  <si>
    <t>UNIDADES A PRODUCIR X DÍA MODULOS 102-103- 106-110-118-200</t>
  </si>
  <si>
    <t>Z1T000330</t>
  </si>
  <si>
    <t>L39L739TBE</t>
  </si>
  <si>
    <t xml:space="preserve">  </t>
  </si>
  <si>
    <t>tiempo por prenda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</si>
</sst>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rgb="FFFFFFFF"/>
      <name val="Oswald"/>
    </font>
    <font>
      <sz val="10"/>
      <color theme="1"/>
      <name val="Arial"/>
      <family val="2"/>
    </font>
    <font>
      <b/>
      <sz val="14"/>
      <color rgb="FFFFFFFF"/>
      <name val="Oswald"/>
    </font>
    <font>
      <b/>
      <sz val="14"/>
      <color theme="1"/>
      <name val="Oswald"/>
    </font>
    <font>
      <b/>
      <sz val="14"/>
      <color rgb="FF34A853"/>
      <name val="Oswald"/>
    </font>
    <font>
      <b/>
      <sz val="36"/>
      <color rgb="FFFFFF00"/>
      <name val="Oswald"/>
    </font>
    <font>
      <b/>
      <sz val="36"/>
      <color rgb="FFFFFFFF"/>
      <name val="Oswald"/>
    </font>
    <font>
      <b/>
      <sz val="18"/>
      <color theme="1"/>
      <name val="Oswald"/>
    </font>
    <font>
      <b/>
      <sz val="18"/>
      <color rgb="FF34A853"/>
      <name val="Oswald"/>
    </font>
    <font>
      <b/>
      <sz val="18"/>
      <color rgb="FFF7981D"/>
      <name val="Oswald"/>
    </font>
    <font>
      <b/>
      <sz val="18"/>
      <color rgb="FFEA4335"/>
      <name val="Oswald"/>
    </font>
    <font>
      <b/>
      <sz val="36"/>
      <color theme="1"/>
      <name val="Oswald"/>
    </font>
    <font>
      <b/>
      <sz val="30"/>
      <color rgb="FF34A853"/>
      <name val="Oswald"/>
    </font>
    <font>
      <b/>
      <sz val="24"/>
      <color rgb="FFFFFFFF"/>
      <name val="Oswald"/>
    </font>
    <font>
      <b/>
      <sz val="72"/>
      <color theme="1"/>
      <name val="Arial Black"/>
      <family val="2"/>
    </font>
    <font>
      <b/>
      <sz val="18"/>
      <color rgb="FFFFFFFF"/>
      <name val="Oswald"/>
    </font>
    <font>
      <b/>
      <sz val="100"/>
      <color rgb="FFFF0000"/>
      <name val="Arial Black"/>
      <family val="2"/>
    </font>
    <font>
      <b/>
      <sz val="28"/>
      <color rgb="FFFFFFFF"/>
      <name val="Oswald"/>
    </font>
    <font>
      <b/>
      <sz val="26"/>
      <color rgb="FFFFFFFF"/>
      <name val="Oswald"/>
    </font>
    <font>
      <sz val="28"/>
      <color theme="1"/>
      <name val="Arial"/>
      <family val="2"/>
    </font>
    <font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6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FFFFFF"/>
      <name val="Oswald"/>
    </font>
    <font>
      <sz val="14"/>
      <color theme="1"/>
      <name val="Arial"/>
      <family val="2"/>
    </font>
    <font>
      <sz val="14"/>
      <color theme="1"/>
      <name val="Calibri"/>
      <family val="2"/>
      <scheme val="minor"/>
    </font>
    <font>
      <b/>
      <sz val="16"/>
      <color rgb="FFFFFFFF"/>
      <name val="Oswald"/>
    </font>
    <font>
      <b/>
      <sz val="14"/>
      <color rgb="FFFFC000"/>
      <name val="Oswald"/>
    </font>
    <font>
      <b/>
      <sz val="16"/>
      <color theme="1"/>
      <name val="Oswald"/>
    </font>
    <font>
      <b/>
      <sz val="16"/>
      <color rgb="FF34A853"/>
      <name val="Oswald"/>
    </font>
    <font>
      <b/>
      <sz val="16"/>
      <color rgb="FFEA4335"/>
      <name val="Oswald"/>
    </font>
    <font>
      <b/>
      <sz val="16"/>
      <color rgb="FFF7981D"/>
      <name val="Oswald"/>
    </font>
    <font>
      <b/>
      <sz val="28"/>
      <color rgb="FF34A853"/>
      <name val="Oswald"/>
    </font>
    <font>
      <b/>
      <sz val="26"/>
      <color rgb="FF34A853"/>
      <name val="Oswald"/>
    </font>
    <font>
      <b/>
      <sz val="12"/>
      <color theme="1"/>
      <name val="Arial"/>
      <family val="2"/>
    </font>
    <font>
      <b/>
      <sz val="20"/>
      <color rgb="FFFFFFFF"/>
      <name val="Oswald"/>
    </font>
    <font>
      <sz val="2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351C7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B1D88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30">
    <border>
      <left/>
      <right/>
      <top/>
      <bottom/>
      <diagonal/>
    </border>
    <border>
      <left style="medium">
        <color rgb="FFCCCCCC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CCCCCC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3" fillId="0" borderId="5" xfId="0" applyFont="1" applyBorder="1" applyAlignment="1">
      <alignment wrapText="1"/>
    </xf>
    <xf numFmtId="0" fontId="4" fillId="2" borderId="6" xfId="0" applyFont="1" applyFill="1" applyBorder="1" applyAlignment="1">
      <alignment wrapText="1"/>
    </xf>
    <xf numFmtId="0" fontId="4" fillId="2" borderId="7" xfId="0" applyFont="1" applyFill="1" applyBorder="1" applyAlignment="1">
      <alignment wrapText="1"/>
    </xf>
    <xf numFmtId="20" fontId="5" fillId="0" borderId="6" xfId="0" applyNumberFormat="1" applyFont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9" fontId="6" fillId="3" borderId="7" xfId="0" applyNumberFormat="1" applyFont="1" applyFill="1" applyBorder="1" applyAlignment="1">
      <alignment horizontal="center" wrapText="1"/>
    </xf>
    <xf numFmtId="0" fontId="5" fillId="0" borderId="8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right" wrapText="1"/>
    </xf>
    <xf numFmtId="0" fontId="4" fillId="2" borderId="8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wrapText="1"/>
    </xf>
    <xf numFmtId="0" fontId="4" fillId="2" borderId="9" xfId="0" applyFont="1" applyFill="1" applyBorder="1" applyAlignment="1">
      <alignment wrapText="1"/>
    </xf>
    <xf numFmtId="9" fontId="0" fillId="0" borderId="0" xfId="1" applyFont="1"/>
    <xf numFmtId="0" fontId="2" fillId="2" borderId="1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0" fontId="19" fillId="2" borderId="4" xfId="0" applyFont="1" applyFill="1" applyBorder="1" applyAlignment="1">
      <alignment vertical="center"/>
    </xf>
    <xf numFmtId="0" fontId="21" fillId="0" borderId="14" xfId="0" applyFont="1" applyBorder="1" applyAlignment="1">
      <alignment wrapText="1"/>
    </xf>
    <xf numFmtId="0" fontId="22" fillId="0" borderId="0" xfId="0" applyFont="1"/>
    <xf numFmtId="0" fontId="23" fillId="0" borderId="14" xfId="0" applyFont="1" applyBorder="1" applyAlignment="1">
      <alignment horizontal="left" wrapText="1"/>
    </xf>
    <xf numFmtId="0" fontId="24" fillId="0" borderId="0" xfId="0" applyFont="1" applyAlignment="1">
      <alignment horizontal="left"/>
    </xf>
    <xf numFmtId="14" fontId="19" fillId="2" borderId="3" xfId="0" applyNumberFormat="1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0" fontId="26" fillId="0" borderId="0" xfId="0" applyFont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29" fillId="0" borderId="0" xfId="0" applyFont="1"/>
    <xf numFmtId="0" fontId="28" fillId="0" borderId="14" xfId="0" applyFont="1" applyBorder="1" applyAlignment="1">
      <alignment wrapText="1"/>
    </xf>
    <xf numFmtId="0" fontId="29" fillId="0" borderId="0" xfId="0" applyFont="1" applyAlignment="1">
      <alignment horizontal="center" vertical="center"/>
    </xf>
    <xf numFmtId="0" fontId="28" fillId="0" borderId="14" xfId="0" applyFont="1" applyBorder="1" applyAlignment="1">
      <alignment horizontal="right" wrapText="1"/>
    </xf>
    <xf numFmtId="0" fontId="4" fillId="2" borderId="13" xfId="0" applyFont="1" applyFill="1" applyBorder="1" applyAlignment="1">
      <alignment horizontal="center" vertical="center" wrapText="1"/>
    </xf>
    <xf numFmtId="0" fontId="27" fillId="2" borderId="13" xfId="0" applyFont="1" applyFill="1" applyBorder="1" applyAlignment="1">
      <alignment horizontal="center" vertical="center" wrapText="1"/>
    </xf>
    <xf numFmtId="20" fontId="5" fillId="0" borderId="13" xfId="0" applyNumberFormat="1" applyFont="1" applyBorder="1" applyAlignment="1">
      <alignment horizontal="center" wrapText="1"/>
    </xf>
    <xf numFmtId="0" fontId="5" fillId="0" borderId="13" xfId="0" applyFont="1" applyBorder="1" applyAlignment="1">
      <alignment horizontal="center" vertical="center" wrapText="1"/>
    </xf>
    <xf numFmtId="9" fontId="6" fillId="3" borderId="13" xfId="0" applyNumberFormat="1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wrapText="1"/>
    </xf>
    <xf numFmtId="0" fontId="4" fillId="2" borderId="0" xfId="0" applyFont="1" applyFill="1" applyAlignment="1">
      <alignment vertical="center" wrapText="1"/>
    </xf>
    <xf numFmtId="14" fontId="4" fillId="2" borderId="0" xfId="0" applyNumberFormat="1" applyFont="1" applyFill="1" applyAlignment="1">
      <alignment horizontal="left" vertical="center" wrapText="1"/>
    </xf>
    <xf numFmtId="0" fontId="2" fillId="2" borderId="0" xfId="0" applyFont="1" applyFill="1" applyAlignment="1">
      <alignment vertical="center"/>
    </xf>
    <xf numFmtId="14" fontId="4" fillId="2" borderId="20" xfId="0" applyNumberFormat="1" applyFont="1" applyFill="1" applyBorder="1" applyAlignment="1">
      <alignment horizontal="left" vertical="center"/>
    </xf>
    <xf numFmtId="0" fontId="3" fillId="0" borderId="14" xfId="0" applyFont="1" applyBorder="1" applyAlignment="1">
      <alignment horizontal="right" wrapText="1"/>
    </xf>
    <xf numFmtId="0" fontId="20" fillId="2" borderId="0" xfId="0" applyFont="1" applyFill="1" applyAlignment="1">
      <alignment horizontal="left" vertical="center"/>
    </xf>
    <xf numFmtId="20" fontId="5" fillId="0" borderId="13" xfId="0" applyNumberFormat="1" applyFont="1" applyBorder="1" applyAlignment="1">
      <alignment horizontal="center" vertical="center" wrapText="1"/>
    </xf>
    <xf numFmtId="20" fontId="5" fillId="5" borderId="13" xfId="0" applyNumberFormat="1" applyFont="1" applyFill="1" applyBorder="1" applyAlignment="1">
      <alignment horizontal="center" vertical="center" wrapText="1"/>
    </xf>
    <xf numFmtId="9" fontId="10" fillId="3" borderId="13" xfId="0" applyNumberFormat="1" applyFont="1" applyFill="1" applyBorder="1" applyAlignment="1">
      <alignment vertical="center" wrapText="1"/>
    </xf>
    <xf numFmtId="9" fontId="12" fillId="3" borderId="13" xfId="0" applyNumberFormat="1" applyFont="1" applyFill="1" applyBorder="1" applyAlignment="1">
      <alignment vertical="center" wrapText="1"/>
    </xf>
    <xf numFmtId="0" fontId="9" fillId="3" borderId="13" xfId="0" applyFont="1" applyFill="1" applyBorder="1" applyAlignment="1">
      <alignment vertical="center" wrapText="1"/>
    </xf>
    <xf numFmtId="9" fontId="11" fillId="3" borderId="13" xfId="0" applyNumberFormat="1" applyFont="1" applyFill="1" applyBorder="1" applyAlignment="1">
      <alignment vertical="center" wrapText="1"/>
    </xf>
    <xf numFmtId="20" fontId="5" fillId="5" borderId="17" xfId="0" applyNumberFormat="1" applyFont="1" applyFill="1" applyBorder="1" applyAlignment="1">
      <alignment horizontal="center" vertical="center" wrapText="1"/>
    </xf>
    <xf numFmtId="0" fontId="19" fillId="4" borderId="21" xfId="0" applyFont="1" applyFill="1" applyBorder="1" applyAlignment="1">
      <alignment vertical="center" wrapText="1"/>
    </xf>
    <xf numFmtId="0" fontId="27" fillId="4" borderId="13" xfId="0" applyFont="1" applyFill="1" applyBorder="1" applyAlignment="1">
      <alignment horizontal="center" vertical="center" wrapText="1"/>
    </xf>
    <xf numFmtId="9" fontId="10" fillId="3" borderId="13" xfId="0" applyNumberFormat="1" applyFont="1" applyFill="1" applyBorder="1" applyAlignment="1">
      <alignment horizontal="center" vertical="center" wrapText="1"/>
    </xf>
    <xf numFmtId="9" fontId="12" fillId="3" borderId="13" xfId="0" applyNumberFormat="1" applyFont="1" applyFill="1" applyBorder="1" applyAlignment="1">
      <alignment horizontal="center" vertical="center" wrapText="1"/>
    </xf>
    <xf numFmtId="0" fontId="9" fillId="3" borderId="13" xfId="0" applyFont="1" applyFill="1" applyBorder="1" applyAlignment="1">
      <alignment horizontal="center" vertical="center" wrapText="1"/>
    </xf>
    <xf numFmtId="9" fontId="11" fillId="3" borderId="13" xfId="0" applyNumberFormat="1" applyFont="1" applyFill="1" applyBorder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31" fillId="2" borderId="13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wrapText="1"/>
    </xf>
    <xf numFmtId="0" fontId="31" fillId="2" borderId="13" xfId="0" applyFont="1" applyFill="1" applyBorder="1" applyAlignment="1">
      <alignment horizontal="center" wrapText="1"/>
    </xf>
    <xf numFmtId="9" fontId="6" fillId="3" borderId="13" xfId="0" applyNumberFormat="1" applyFont="1" applyFill="1" applyBorder="1" applyAlignment="1">
      <alignment horizontal="center" wrapText="1"/>
    </xf>
    <xf numFmtId="14" fontId="19" fillId="2" borderId="20" xfId="0" applyNumberFormat="1" applyFont="1" applyFill="1" applyBorder="1" applyAlignment="1">
      <alignment horizontal="left" vertical="center"/>
    </xf>
    <xf numFmtId="20" fontId="32" fillId="5" borderId="13" xfId="0" applyNumberFormat="1" applyFont="1" applyFill="1" applyBorder="1" applyAlignment="1">
      <alignment horizontal="center" vertical="center" wrapText="1"/>
    </xf>
    <xf numFmtId="20" fontId="32" fillId="5" borderId="17" xfId="0" applyNumberFormat="1" applyFont="1" applyFill="1" applyBorder="1" applyAlignment="1">
      <alignment horizontal="center" vertical="center" wrapText="1"/>
    </xf>
    <xf numFmtId="9" fontId="33" fillId="3" borderId="13" xfId="0" applyNumberFormat="1" applyFont="1" applyFill="1" applyBorder="1" applyAlignment="1">
      <alignment vertical="center" wrapText="1"/>
    </xf>
    <xf numFmtId="9" fontId="34" fillId="3" borderId="13" xfId="0" applyNumberFormat="1" applyFont="1" applyFill="1" applyBorder="1" applyAlignment="1">
      <alignment vertical="center" wrapText="1"/>
    </xf>
    <xf numFmtId="0" fontId="32" fillId="3" borderId="13" xfId="0" applyFont="1" applyFill="1" applyBorder="1" applyAlignment="1">
      <alignment vertical="center" wrapText="1"/>
    </xf>
    <xf numFmtId="9" fontId="35" fillId="3" borderId="13" xfId="0" applyNumberFormat="1" applyFont="1" applyFill="1" applyBorder="1" applyAlignment="1">
      <alignment vertical="center" wrapText="1"/>
    </xf>
    <xf numFmtId="0" fontId="27" fillId="7" borderId="13" xfId="0" applyFont="1" applyFill="1" applyBorder="1" applyAlignment="1">
      <alignment horizontal="center" vertical="center" wrapText="1"/>
    </xf>
    <xf numFmtId="1" fontId="32" fillId="3" borderId="13" xfId="0" applyNumberFormat="1" applyFont="1" applyFill="1" applyBorder="1" applyAlignment="1">
      <alignment horizontal="center" vertical="center" wrapText="1"/>
    </xf>
    <xf numFmtId="9" fontId="32" fillId="3" borderId="13" xfId="0" applyNumberFormat="1" applyFont="1" applyFill="1" applyBorder="1" applyAlignment="1">
      <alignment vertical="center" wrapText="1"/>
    </xf>
    <xf numFmtId="9" fontId="36" fillId="3" borderId="13" xfId="1" applyFont="1" applyFill="1" applyBorder="1" applyAlignment="1">
      <alignment horizontal="center" vertical="center" wrapText="1"/>
    </xf>
    <xf numFmtId="1" fontId="37" fillId="3" borderId="13" xfId="1" applyNumberFormat="1" applyFont="1" applyFill="1" applyBorder="1" applyAlignment="1">
      <alignment horizontal="center" vertical="center" wrapText="1"/>
    </xf>
    <xf numFmtId="1" fontId="5" fillId="0" borderId="13" xfId="0" applyNumberFormat="1" applyFont="1" applyBorder="1" applyAlignment="1">
      <alignment horizontal="center" vertical="center" wrapText="1"/>
    </xf>
    <xf numFmtId="20" fontId="0" fillId="0" borderId="0" xfId="0" applyNumberFormat="1"/>
    <xf numFmtId="1" fontId="0" fillId="0" borderId="0" xfId="1" applyNumberFormat="1" applyFont="1"/>
    <xf numFmtId="1" fontId="6" fillId="3" borderId="13" xfId="0" applyNumberFormat="1" applyFont="1" applyFill="1" applyBorder="1" applyAlignment="1">
      <alignment horizontal="center" vertical="center" wrapText="1"/>
    </xf>
    <xf numFmtId="9" fontId="33" fillId="3" borderId="13" xfId="0" applyNumberFormat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vertical="top"/>
    </xf>
    <xf numFmtId="0" fontId="8" fillId="2" borderId="15" xfId="0" applyFont="1" applyFill="1" applyBorder="1" applyAlignment="1">
      <alignment vertical="top"/>
    </xf>
    <xf numFmtId="0" fontId="2" fillId="2" borderId="1" xfId="0" applyFont="1" applyFill="1" applyBorder="1" applyAlignment="1">
      <alignment vertical="top"/>
    </xf>
    <xf numFmtId="0" fontId="38" fillId="0" borderId="14" xfId="0" applyFont="1" applyBorder="1" applyAlignment="1">
      <alignment wrapText="1"/>
    </xf>
    <xf numFmtId="0" fontId="19" fillId="4" borderId="24" xfId="0" applyFont="1" applyFill="1" applyBorder="1" applyAlignment="1">
      <alignment vertical="center" wrapText="1"/>
    </xf>
    <xf numFmtId="1" fontId="4" fillId="2" borderId="13" xfId="0" applyNumberFormat="1" applyFont="1" applyFill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wrapText="1"/>
    </xf>
    <xf numFmtId="1" fontId="0" fillId="0" borderId="0" xfId="0" applyNumberFormat="1"/>
    <xf numFmtId="1" fontId="26" fillId="0" borderId="0" xfId="0" applyNumberFormat="1" applyFont="1"/>
    <xf numFmtId="1" fontId="29" fillId="0" borderId="0" xfId="0" applyNumberFormat="1" applyFont="1"/>
    <xf numFmtId="3" fontId="5" fillId="0" borderId="13" xfId="0" applyNumberFormat="1" applyFont="1" applyBorder="1" applyAlignment="1">
      <alignment horizontal="center" vertical="center" wrapText="1"/>
    </xf>
    <xf numFmtId="3" fontId="5" fillId="0" borderId="13" xfId="0" applyNumberFormat="1" applyFont="1" applyBorder="1" applyAlignment="1">
      <alignment horizontal="center" wrapText="1"/>
    </xf>
    <xf numFmtId="9" fontId="6" fillId="3" borderId="23" xfId="0" applyNumberFormat="1" applyFont="1" applyFill="1" applyBorder="1" applyAlignment="1">
      <alignment horizontal="center" vertical="center" wrapText="1"/>
    </xf>
    <xf numFmtId="1" fontId="4" fillId="2" borderId="13" xfId="0" applyNumberFormat="1" applyFont="1" applyFill="1" applyBorder="1" applyAlignment="1">
      <alignment horizontal="center" wrapText="1"/>
    </xf>
    <xf numFmtId="1" fontId="5" fillId="0" borderId="13" xfId="0" applyNumberFormat="1" applyFont="1" applyBorder="1" applyAlignment="1">
      <alignment horizontal="center" wrapText="1"/>
    </xf>
    <xf numFmtId="0" fontId="28" fillId="0" borderId="16" xfId="0" applyFont="1" applyBorder="1" applyAlignment="1">
      <alignment wrapText="1"/>
    </xf>
    <xf numFmtId="0" fontId="28" fillId="0" borderId="13" xfId="0" applyFont="1" applyBorder="1" applyAlignment="1">
      <alignment wrapText="1"/>
    </xf>
    <xf numFmtId="0" fontId="28" fillId="0" borderId="18" xfId="0" applyFont="1" applyBorder="1" applyAlignment="1">
      <alignment wrapText="1"/>
    </xf>
    <xf numFmtId="0" fontId="28" fillId="0" borderId="19" xfId="0" applyFont="1" applyBorder="1" applyAlignment="1">
      <alignment wrapText="1"/>
    </xf>
    <xf numFmtId="0" fontId="5" fillId="0" borderId="13" xfId="0" applyFont="1" applyBorder="1" applyAlignment="1">
      <alignment horizontal="center" vertical="center" wrapText="1"/>
    </xf>
    <xf numFmtId="0" fontId="3" fillId="0" borderId="13" xfId="0" applyFont="1" applyBorder="1" applyAlignment="1">
      <alignment wrapText="1"/>
    </xf>
    <xf numFmtId="0" fontId="3" fillId="0" borderId="19" xfId="0" applyFont="1" applyBorder="1" applyAlignment="1">
      <alignment wrapText="1"/>
    </xf>
    <xf numFmtId="0" fontId="3" fillId="0" borderId="16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8" xfId="0" applyFont="1" applyBorder="1" applyAlignment="1">
      <alignment vertical="center" wrapText="1"/>
    </xf>
    <xf numFmtId="0" fontId="3" fillId="0" borderId="19" xfId="0" applyFont="1" applyBorder="1" applyAlignment="1">
      <alignment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0" fontId="7" fillId="4" borderId="16" xfId="0" applyFont="1" applyFill="1" applyBorder="1" applyAlignment="1">
      <alignment horizontal="center" vertical="center" wrapText="1"/>
    </xf>
    <xf numFmtId="0" fontId="19" fillId="4" borderId="22" xfId="0" applyFont="1" applyFill="1" applyBorder="1" applyAlignment="1">
      <alignment horizontal="center" vertical="center" wrapText="1"/>
    </xf>
    <xf numFmtId="0" fontId="19" fillId="4" borderId="1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9" fontId="14" fillId="3" borderId="13" xfId="1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4" borderId="24" xfId="0" applyFont="1" applyFill="1" applyBorder="1" applyAlignment="1">
      <alignment horizontal="center" vertical="center" wrapText="1"/>
    </xf>
    <xf numFmtId="0" fontId="17" fillId="4" borderId="25" xfId="0" applyFont="1" applyFill="1" applyBorder="1" applyAlignment="1">
      <alignment horizontal="center" vertical="center" wrapText="1"/>
    </xf>
    <xf numFmtId="0" fontId="8" fillId="4" borderId="25" xfId="0" applyFont="1" applyFill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0" fontId="7" fillId="4" borderId="13" xfId="0" applyFont="1" applyFill="1" applyBorder="1" applyAlignment="1">
      <alignment horizontal="center" vertical="center" wrapText="1"/>
    </xf>
    <xf numFmtId="0" fontId="30" fillId="4" borderId="22" xfId="0" applyFont="1" applyFill="1" applyBorder="1" applyAlignment="1">
      <alignment horizontal="center" vertical="center" wrapText="1"/>
    </xf>
    <xf numFmtId="0" fontId="4" fillId="6" borderId="19" xfId="0" applyFont="1" applyFill="1" applyBorder="1" applyAlignment="1">
      <alignment horizontal="center" wrapText="1"/>
    </xf>
    <xf numFmtId="1" fontId="16" fillId="0" borderId="26" xfId="0" applyNumberFormat="1" applyFont="1" applyBorder="1" applyAlignment="1">
      <alignment horizontal="center"/>
    </xf>
    <xf numFmtId="0" fontId="16" fillId="0" borderId="27" xfId="0" applyFont="1" applyBorder="1" applyAlignment="1">
      <alignment horizontal="center"/>
    </xf>
    <xf numFmtId="0" fontId="16" fillId="0" borderId="28" xfId="0" applyFont="1" applyBorder="1" applyAlignment="1">
      <alignment horizontal="center"/>
    </xf>
    <xf numFmtId="0" fontId="39" fillId="6" borderId="19" xfId="0" applyFont="1" applyFill="1" applyBorder="1" applyAlignment="1">
      <alignment horizontal="center" vertical="center" wrapText="1"/>
    </xf>
    <xf numFmtId="0" fontId="16" fillId="0" borderId="26" xfId="0" applyFont="1" applyBorder="1" applyAlignment="1">
      <alignment horizontal="center"/>
    </xf>
    <xf numFmtId="9" fontId="18" fillId="0" borderId="26" xfId="1" applyFont="1" applyBorder="1" applyAlignment="1">
      <alignment horizontal="center"/>
    </xf>
    <xf numFmtId="9" fontId="18" fillId="0" borderId="27" xfId="1" applyFont="1" applyBorder="1" applyAlignment="1">
      <alignment horizontal="center"/>
    </xf>
    <xf numFmtId="9" fontId="18" fillId="0" borderId="28" xfId="1" applyFont="1" applyBorder="1" applyAlignment="1">
      <alignment horizontal="center"/>
    </xf>
    <xf numFmtId="0" fontId="15" fillId="6" borderId="19" xfId="0" applyFont="1" applyFill="1" applyBorder="1" applyAlignment="1">
      <alignment horizontal="center" vertical="center" wrapText="1"/>
    </xf>
    <xf numFmtId="0" fontId="40" fillId="0" borderId="14" xfId="0" applyFont="1" applyBorder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152"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5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CC00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E1DD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46264</xdr:colOff>
      <xdr:row>0</xdr:row>
      <xdr:rowOff>0</xdr:rowOff>
    </xdr:from>
    <xdr:to>
      <xdr:col>8</xdr:col>
      <xdr:colOff>98148</xdr:colOff>
      <xdr:row>2</xdr:row>
      <xdr:rowOff>-1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C2C651C-B9A7-4C7C-AD72-ED2F1F7EA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41621" y="0"/>
          <a:ext cx="2946396" cy="14831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6450</xdr:colOff>
      <xdr:row>0</xdr:row>
      <xdr:rowOff>13607</xdr:rowOff>
    </xdr:from>
    <xdr:to>
      <xdr:col>8</xdr:col>
      <xdr:colOff>169248</xdr:colOff>
      <xdr:row>2</xdr:row>
      <xdr:rowOff>408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0123FA-7342-4570-805D-AA505FD921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5557" y="13607"/>
          <a:ext cx="3057310" cy="15478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7</xdr:col>
      <xdr:colOff>666751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FF35335-38EB-4434-8215-E1C50973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312964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251BA27-EED2-47E0-9C8E-DF5DC8287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320585</xdr:colOff>
      <xdr:row>1</xdr:row>
      <xdr:rowOff>363855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422DE82-8AFB-4BA0-A915-F9F940339E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312965</xdr:colOff>
      <xdr:row>1</xdr:row>
      <xdr:rowOff>371475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B4B2094-BD61-4FC3-8358-4DB7DB62D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19051</xdr:colOff>
      <xdr:row>0</xdr:row>
      <xdr:rowOff>57151</xdr:rowOff>
    </xdr:from>
    <xdr:to>
      <xdr:col>8</xdr:col>
      <xdr:colOff>0</xdr:colOff>
      <xdr:row>2</xdr:row>
      <xdr:rowOff>9525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2E2AFA6-D168-4B5E-B1E6-86BF72A7CB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1" y="57151"/>
          <a:ext cx="2581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9526</xdr:colOff>
      <xdr:row>0</xdr:row>
      <xdr:rowOff>152401</xdr:rowOff>
    </xdr:from>
    <xdr:to>
      <xdr:col>8</xdr:col>
      <xdr:colOff>304800</xdr:colOff>
      <xdr:row>0</xdr:row>
      <xdr:rowOff>1042307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E779AFC-A602-4269-B0FB-1B9230021D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152401"/>
          <a:ext cx="2581274" cy="885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722C6-6193-4B1C-8D3A-4F9DDEEDCFB0}">
  <sheetPr codeName="Hoja1">
    <tabColor rgb="FF00B0F0"/>
  </sheetPr>
  <dimension ref="A1:S14"/>
  <sheetViews>
    <sheetView topLeftCell="A2" zoomScale="85" zoomScaleNormal="85" workbookViewId="0">
      <selection activeCell="L9" sqref="L9"/>
    </sheetView>
  </sheetViews>
  <sheetFormatPr baseColWidth="10" defaultColWidth="11.44140625" defaultRowHeight="18" x14ac:dyDescent="0.35"/>
  <cols>
    <col min="1" max="1" width="49.33203125" style="30" customWidth="1"/>
    <col min="2" max="5" width="11.5546875" style="30" bestFit="1" customWidth="1"/>
    <col min="6" max="6" width="14.5546875" style="30" customWidth="1"/>
    <col min="7" max="7" width="14.44140625" style="30" bestFit="1" customWidth="1"/>
    <col min="8" max="11" width="14.44140625" style="30" customWidth="1"/>
    <col min="12" max="12" width="16.109375" style="30" customWidth="1"/>
    <col min="13" max="16384" width="11.44140625" style="30"/>
  </cols>
  <sheetData>
    <row r="1" spans="1:19" ht="71.25" customHeight="1" thickBot="1" x14ac:dyDescent="0.4">
      <c r="A1" s="42" t="s">
        <v>0</v>
      </c>
      <c r="B1" s="40"/>
      <c r="C1" s="40"/>
      <c r="D1" s="40"/>
      <c r="E1" s="40"/>
      <c r="F1" s="98"/>
      <c r="G1" s="99"/>
      <c r="H1" s="99"/>
      <c r="I1" s="99"/>
      <c r="J1" s="99"/>
      <c r="K1" s="99"/>
      <c r="L1" s="99"/>
    </row>
    <row r="2" spans="1:19" ht="45" customHeight="1" thickBot="1" x14ac:dyDescent="0.4">
      <c r="A2" s="41">
        <f ca="1">TODAY()</f>
        <v>44886</v>
      </c>
      <c r="B2" s="40"/>
      <c r="C2" s="40"/>
      <c r="D2" s="40"/>
      <c r="E2" s="40"/>
      <c r="F2" s="100"/>
      <c r="G2" s="101"/>
      <c r="H2" s="101"/>
      <c r="I2" s="101"/>
      <c r="J2" s="101"/>
      <c r="K2" s="101"/>
      <c r="L2" s="101"/>
      <c r="M2" s="31"/>
    </row>
    <row r="3" spans="1:19" ht="58.5" customHeight="1" thickBot="1" x14ac:dyDescent="0.4">
      <c r="A3" s="34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31"/>
    </row>
    <row r="4" spans="1:19" ht="27" customHeight="1" thickBot="1" x14ac:dyDescent="0.9">
      <c r="A4" s="36">
        <v>0.3125</v>
      </c>
      <c r="B4" s="87">
        <f>+(50*$L$8)/$L$9</f>
        <v>21.356873353741012</v>
      </c>
      <c r="C4" s="77">
        <f>+SUM($B$4:B4)</f>
        <v>21.356873353741012</v>
      </c>
      <c r="D4" s="61">
        <v>17</v>
      </c>
      <c r="E4" s="37">
        <f>+IFERROR(SUM($D$4:D4),"")</f>
        <v>17</v>
      </c>
      <c r="F4" s="38">
        <f>+D4/B4</f>
        <v>0.79599666666666669</v>
      </c>
      <c r="G4" s="38">
        <f>+E4/C4</f>
        <v>0.79599666666666669</v>
      </c>
      <c r="H4" s="80"/>
      <c r="I4" s="80">
        <f>SUM($H$4:H4)</f>
        <v>0</v>
      </c>
      <c r="J4" s="38">
        <f>H4/B4</f>
        <v>0</v>
      </c>
      <c r="K4" s="38">
        <f>I4/C4</f>
        <v>0</v>
      </c>
      <c r="L4" s="37" t="s">
        <v>39</v>
      </c>
      <c r="M4" s="33"/>
    </row>
    <row r="5" spans="1:19" ht="27" customHeight="1" thickBot="1" x14ac:dyDescent="0.9">
      <c r="A5" s="36">
        <v>0.35416666666666669</v>
      </c>
      <c r="B5" s="87">
        <f>+(60*$L$8)/$L$9</f>
        <v>25.628248024489213</v>
      </c>
      <c r="C5" s="77">
        <f>+IF(D5="","",B5+C4)</f>
        <v>46.985121378230225</v>
      </c>
      <c r="D5" s="61">
        <v>21</v>
      </c>
      <c r="E5" s="37">
        <f>IF(D5="","",SUM($D$4:D5))</f>
        <v>38</v>
      </c>
      <c r="F5" s="38">
        <f t="shared" ref="F5:F13" si="0">+D5/B5</f>
        <v>0.81940833333333341</v>
      </c>
      <c r="G5" s="38">
        <f>IF(E5="","",(E5/C5))</f>
        <v>0.80876666666666674</v>
      </c>
      <c r="H5" s="80"/>
      <c r="I5" s="80">
        <f>SUM($H$4:H5)</f>
        <v>0</v>
      </c>
      <c r="J5" s="38">
        <f t="shared" ref="J5:J14" si="1">H5/B5</f>
        <v>0</v>
      </c>
      <c r="K5" s="38" t="str">
        <f>IF(H5="","",(I5/C5))</f>
        <v/>
      </c>
      <c r="L5" s="34" t="s">
        <v>9</v>
      </c>
      <c r="M5" s="33"/>
    </row>
    <row r="6" spans="1:19" ht="27" customHeight="1" thickBot="1" x14ac:dyDescent="0.4">
      <c r="A6" s="36">
        <v>0.39583333333333331</v>
      </c>
      <c r="B6" s="87">
        <f t="shared" ref="B6:B7" si="2">+(60*$L$8)/$L$9</f>
        <v>25.628248024489213</v>
      </c>
      <c r="C6" s="77">
        <f t="shared" ref="C6:C13" si="3">+IF(D6="","",B6+C5)</f>
        <v>72.613369402719442</v>
      </c>
      <c r="D6" s="61">
        <v>21</v>
      </c>
      <c r="E6" s="37">
        <f>IF(D6="","",SUM($D$4:D6))</f>
        <v>59</v>
      </c>
      <c r="F6" s="38">
        <f t="shared" si="0"/>
        <v>0.81940833333333341</v>
      </c>
      <c r="G6" s="38">
        <f t="shared" ref="G6:G13" si="4">IF(E6="","",(E6/C6))</f>
        <v>0.81252254901960785</v>
      </c>
      <c r="H6" s="80"/>
      <c r="I6" s="80">
        <f>SUM($H$4:H6)</f>
        <v>0</v>
      </c>
      <c r="J6" s="38">
        <f t="shared" si="1"/>
        <v>0</v>
      </c>
      <c r="K6" s="38" t="str">
        <f t="shared" ref="K6:K13" si="5">IF(H6="","",(I6/C6))</f>
        <v/>
      </c>
      <c r="L6" s="37">
        <v>46306004</v>
      </c>
      <c r="M6" s="33"/>
    </row>
    <row r="7" spans="1:19" ht="27" customHeight="1" thickBot="1" x14ac:dyDescent="0.4">
      <c r="A7" s="36">
        <v>0.4375</v>
      </c>
      <c r="B7" s="87">
        <f t="shared" si="2"/>
        <v>25.628248024489213</v>
      </c>
      <c r="C7" s="77">
        <f t="shared" si="3"/>
        <v>98.241617427208652</v>
      </c>
      <c r="D7" s="61">
        <v>21</v>
      </c>
      <c r="E7" s="37">
        <f>IF(D7="","",SUM($D$4:D7))</f>
        <v>80</v>
      </c>
      <c r="F7" s="38">
        <f t="shared" si="0"/>
        <v>0.81940833333333341</v>
      </c>
      <c r="G7" s="38">
        <f t="shared" si="4"/>
        <v>0.81431884057971016</v>
      </c>
      <c r="H7" s="80"/>
      <c r="I7" s="80">
        <f>SUM($H$4:H7)</f>
        <v>0</v>
      </c>
      <c r="J7" s="38">
        <f t="shared" si="1"/>
        <v>0</v>
      </c>
      <c r="K7" s="38" t="str">
        <f t="shared" si="5"/>
        <v/>
      </c>
      <c r="L7" s="35" t="s">
        <v>10</v>
      </c>
      <c r="M7" s="33"/>
      <c r="O7" s="32"/>
    </row>
    <row r="8" spans="1:19" ht="27" customHeight="1" thickBot="1" x14ac:dyDescent="0.4">
      <c r="A8" s="36">
        <v>0.47916666666666669</v>
      </c>
      <c r="B8" s="87">
        <f>+(40*$L$8)/$L$9</f>
        <v>17.08549868299281</v>
      </c>
      <c r="C8" s="77">
        <f t="shared" si="3"/>
        <v>115.32711611020146</v>
      </c>
      <c r="D8" s="61">
        <v>14</v>
      </c>
      <c r="E8" s="37">
        <f>IF(D8="","",SUM($D$4:D8))</f>
        <v>94</v>
      </c>
      <c r="F8" s="38">
        <f t="shared" si="0"/>
        <v>0.81940833333333329</v>
      </c>
      <c r="G8" s="38">
        <f t="shared" si="4"/>
        <v>0.81507283950617293</v>
      </c>
      <c r="H8" s="80"/>
      <c r="I8" s="80">
        <f>SUM($H$4:H8)</f>
        <v>0</v>
      </c>
      <c r="J8" s="38">
        <f t="shared" si="1"/>
        <v>0</v>
      </c>
      <c r="K8" s="38" t="str">
        <f t="shared" si="5"/>
        <v/>
      </c>
      <c r="L8" s="37">
        <v>6</v>
      </c>
      <c r="M8" s="33"/>
    </row>
    <row r="9" spans="1:19" ht="27" customHeight="1" thickBot="1" x14ac:dyDescent="0.4">
      <c r="A9" s="36">
        <v>0.52083333333333337</v>
      </c>
      <c r="B9" s="87">
        <f>+(60*$L$8)/$L$9</f>
        <v>25.628248024489213</v>
      </c>
      <c r="C9" s="77">
        <f t="shared" si="3"/>
        <v>140.95536413469068</v>
      </c>
      <c r="D9" s="61">
        <v>21</v>
      </c>
      <c r="E9" s="37">
        <f>IF(D9="","",SUM($D$4:D9))</f>
        <v>115</v>
      </c>
      <c r="F9" s="38">
        <f t="shared" si="0"/>
        <v>0.81940833333333341</v>
      </c>
      <c r="G9" s="38">
        <f t="shared" si="4"/>
        <v>0.81586111111111115</v>
      </c>
      <c r="H9" s="80"/>
      <c r="I9" s="80">
        <f>SUM($H$4:H9)</f>
        <v>0</v>
      </c>
      <c r="J9" s="38">
        <f t="shared" si="1"/>
        <v>0</v>
      </c>
      <c r="K9" s="38" t="str">
        <f t="shared" si="5"/>
        <v/>
      </c>
      <c r="L9" s="93">
        <v>14.047000000000001</v>
      </c>
      <c r="M9" s="33"/>
    </row>
    <row r="10" spans="1:19" ht="27" customHeight="1" thickBot="1" x14ac:dyDescent="0.4">
      <c r="A10" s="36">
        <v>6.25E-2</v>
      </c>
      <c r="B10" s="87">
        <f t="shared" ref="B10:B13" si="6">+(60*$L$8)/$L$9</f>
        <v>25.628248024489213</v>
      </c>
      <c r="C10" s="77">
        <f t="shared" si="3"/>
        <v>166.58361215917989</v>
      </c>
      <c r="D10" s="61">
        <v>21</v>
      </c>
      <c r="E10" s="37">
        <f>IF(D10="","",SUM($D$4:D10))</f>
        <v>136</v>
      </c>
      <c r="F10" s="38">
        <f t="shared" si="0"/>
        <v>0.81940833333333341</v>
      </c>
      <c r="G10" s="38">
        <f t="shared" si="4"/>
        <v>0.81640683760683763</v>
      </c>
      <c r="H10" s="80"/>
      <c r="I10" s="80">
        <f>SUM($H$4:H10)</f>
        <v>0</v>
      </c>
      <c r="J10" s="38">
        <f t="shared" si="1"/>
        <v>0</v>
      </c>
      <c r="K10" s="38" t="str">
        <f t="shared" si="5"/>
        <v/>
      </c>
      <c r="L10" s="39" t="s">
        <v>11</v>
      </c>
      <c r="M10" s="33"/>
    </row>
    <row r="11" spans="1:19" ht="27" customHeight="1" thickBot="1" x14ac:dyDescent="0.4">
      <c r="A11" s="36">
        <v>0.10416666666666667</v>
      </c>
      <c r="B11" s="87">
        <f t="shared" si="6"/>
        <v>25.628248024489213</v>
      </c>
      <c r="C11" s="77">
        <f t="shared" si="3"/>
        <v>192.2118601836691</v>
      </c>
      <c r="D11" s="61">
        <v>21</v>
      </c>
      <c r="E11" s="37">
        <f>IF(D11="","",SUM($D$4:D11))</f>
        <v>157</v>
      </c>
      <c r="F11" s="38">
        <f t="shared" si="0"/>
        <v>0.81940833333333341</v>
      </c>
      <c r="G11" s="38">
        <f t="shared" si="4"/>
        <v>0.81680703703703705</v>
      </c>
      <c r="H11" s="80"/>
      <c r="I11" s="80">
        <f>SUM($H$4:H11)</f>
        <v>0</v>
      </c>
      <c r="J11" s="38">
        <f t="shared" si="1"/>
        <v>0</v>
      </c>
      <c r="K11" s="38" t="str">
        <f t="shared" si="5"/>
        <v/>
      </c>
      <c r="L11" s="102"/>
      <c r="M11" s="33"/>
      <c r="Q11" s="30">
        <f>50*6</f>
        <v>300</v>
      </c>
    </row>
    <row r="12" spans="1:19" ht="27" customHeight="1" thickBot="1" x14ac:dyDescent="0.4">
      <c r="A12" s="36">
        <v>0.14583333333333334</v>
      </c>
      <c r="B12" s="87">
        <f t="shared" si="6"/>
        <v>25.628248024489213</v>
      </c>
      <c r="C12" s="77">
        <f t="shared" si="3"/>
        <v>217.84010820815831</v>
      </c>
      <c r="D12" s="61">
        <v>21</v>
      </c>
      <c r="E12" s="37">
        <f>IF(D12="","",SUM($D$4:D12))</f>
        <v>178</v>
      </c>
      <c r="F12" s="38">
        <f t="shared" si="0"/>
        <v>0.81940833333333341</v>
      </c>
      <c r="G12" s="38">
        <f t="shared" si="4"/>
        <v>0.81711307189542493</v>
      </c>
      <c r="H12" s="80"/>
      <c r="I12" s="80">
        <f>SUM($H$4:H12)</f>
        <v>0</v>
      </c>
      <c r="J12" s="38">
        <f t="shared" si="1"/>
        <v>0</v>
      </c>
      <c r="K12" s="38" t="str">
        <f t="shared" si="5"/>
        <v/>
      </c>
      <c r="L12" s="102"/>
      <c r="M12" s="33"/>
      <c r="S12" s="30">
        <f>300/14.047</f>
        <v>21.356873353741012</v>
      </c>
    </row>
    <row r="13" spans="1:19" ht="27" customHeight="1" thickBot="1" x14ac:dyDescent="0.4">
      <c r="A13" s="36">
        <v>0.1875</v>
      </c>
      <c r="B13" s="87">
        <f t="shared" si="6"/>
        <v>25.628248024489213</v>
      </c>
      <c r="C13" s="77">
        <f t="shared" si="3"/>
        <v>243.46835623264752</v>
      </c>
      <c r="D13" s="61">
        <v>21</v>
      </c>
      <c r="E13" s="37">
        <f>IF(D13="","",SUM($D$4:D13))</f>
        <v>199</v>
      </c>
      <c r="F13" s="38">
        <f t="shared" si="0"/>
        <v>0.81940833333333341</v>
      </c>
      <c r="G13" s="38">
        <f t="shared" si="4"/>
        <v>0.81735467836257314</v>
      </c>
      <c r="H13" s="80"/>
      <c r="I13" s="80">
        <f>SUM($H$4:H13)</f>
        <v>0</v>
      </c>
      <c r="J13" s="38">
        <f t="shared" si="1"/>
        <v>0</v>
      </c>
      <c r="K13" s="38" t="str">
        <f t="shared" si="5"/>
        <v/>
      </c>
      <c r="L13" s="102"/>
      <c r="M13" s="33"/>
    </row>
    <row r="14" spans="1:19" x14ac:dyDescent="0.35">
      <c r="B14" s="92">
        <f>SUM(B4:B13)</f>
        <v>243.46835623264752</v>
      </c>
      <c r="C14" s="92">
        <f>+MAX(C4:C13)</f>
        <v>243.46835623264752</v>
      </c>
      <c r="D14" s="30">
        <f>+SUM(D4:D13)</f>
        <v>199</v>
      </c>
      <c r="J14" s="30">
        <f t="shared" si="1"/>
        <v>0</v>
      </c>
    </row>
  </sheetData>
  <mergeCells count="2">
    <mergeCell ref="F1:L2"/>
    <mergeCell ref="L11:L13"/>
  </mergeCells>
  <conditionalFormatting sqref="F4:G13">
    <cfRule type="cellIs" dxfId="151" priority="9" operator="greaterThan">
      <formula>0.81</formula>
    </cfRule>
    <cfRule type="cellIs" dxfId="150" priority="10" operator="between">
      <formula>0.61</formula>
      <formula>0.8</formula>
    </cfRule>
    <cfRule type="cellIs" dxfId="149" priority="11" operator="lessThan">
      <formula>0.6</formula>
    </cfRule>
  </conditionalFormatting>
  <conditionalFormatting sqref="H4:K13">
    <cfRule type="cellIs" dxfId="148" priority="4" operator="greaterThan">
      <formula>0.81</formula>
    </cfRule>
    <cfRule type="cellIs" dxfId="147" priority="5" operator="between">
      <formula>0.61</formula>
      <formula>0.8</formula>
    </cfRule>
    <cfRule type="cellIs" dxfId="146" priority="6" operator="lessThan">
      <formula>0.6</formula>
    </cfRule>
  </conditionalFormatting>
  <conditionalFormatting sqref="H4:I13">
    <cfRule type="cellIs" dxfId="145" priority="1" operator="lessThan">
      <formula>1</formula>
    </cfRule>
    <cfRule type="cellIs" dxfId="144" priority="2" operator="greaterThanOrEqual">
      <formula>1</formula>
    </cfRule>
    <cfRule type="cellIs" dxfId="143" priority="3" operator="greaterThan">
      <formula>0</formula>
    </cfRule>
  </conditionalFormatting>
  <dataValidations disablePrompts="1" count="1">
    <dataValidation type="list" allowBlank="1" showInputMessage="1" showErrorMessage="1" sqref="K4:K13" xr:uid="{DF3F427A-6361-40F4-8481-932962A26721}">
      <formula1>"SI,NO"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5BD6-9ADF-43FA-8582-E34757792C04}">
  <sheetPr codeName="Hoja2">
    <tabColor rgb="FF00B0F0"/>
  </sheetPr>
  <dimension ref="A1:M14"/>
  <sheetViews>
    <sheetView zoomScale="70" zoomScaleNormal="70" workbookViewId="0">
      <selection activeCell="G4" sqref="G4"/>
    </sheetView>
  </sheetViews>
  <sheetFormatPr baseColWidth="10" defaultColWidth="11.44140625" defaultRowHeight="14.4" x14ac:dyDescent="0.3"/>
  <cols>
    <col min="1" max="1" width="42.44140625" customWidth="1"/>
    <col min="2" max="4" width="11.5546875" customWidth="1"/>
    <col min="6" max="6" width="14.44140625" customWidth="1"/>
    <col min="7" max="11" width="14.5546875" customWidth="1"/>
    <col min="12" max="12" width="16.109375" customWidth="1"/>
  </cols>
  <sheetData>
    <row r="1" spans="1:13" ht="88.5" customHeight="1" thickBot="1" x14ac:dyDescent="0.35">
      <c r="A1" s="15" t="s">
        <v>13</v>
      </c>
      <c r="B1" s="16"/>
      <c r="C1" s="16"/>
      <c r="D1" s="16"/>
      <c r="E1" s="16"/>
      <c r="F1" s="103"/>
      <c r="G1" s="103"/>
      <c r="H1" s="103"/>
      <c r="I1" s="103"/>
      <c r="J1" s="103"/>
      <c r="K1" s="103"/>
      <c r="L1" s="103"/>
    </row>
    <row r="2" spans="1:13" ht="35.25" customHeight="1" thickBot="1" x14ac:dyDescent="0.35">
      <c r="A2" s="43">
        <f ca="1">TODAY()</f>
        <v>44886</v>
      </c>
      <c r="B2" s="42"/>
      <c r="C2" s="42"/>
      <c r="D2" s="42"/>
      <c r="E2" s="42"/>
      <c r="F2" s="104"/>
      <c r="G2" s="104"/>
      <c r="H2" s="104"/>
      <c r="I2" s="104"/>
      <c r="J2" s="104"/>
      <c r="K2" s="104"/>
      <c r="L2" s="104"/>
      <c r="M2" s="12"/>
    </row>
    <row r="3" spans="1:13" ht="65.25" customHeight="1" thickBot="1" x14ac:dyDescent="0.35">
      <c r="A3" s="34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12"/>
    </row>
    <row r="4" spans="1:13" ht="27" customHeight="1" thickBot="1" x14ac:dyDescent="0.35">
      <c r="A4" s="36">
        <v>0.3125</v>
      </c>
      <c r="B4" s="87">
        <f>+(50*$L$8)/$L$9</f>
        <v>22.777313795459722</v>
      </c>
      <c r="C4" s="77">
        <v>23</v>
      </c>
      <c r="D4" s="61"/>
      <c r="E4" s="37">
        <f>+SUM($D$4:D4)</f>
        <v>0</v>
      </c>
      <c r="F4" s="38">
        <f>+D4/B4</f>
        <v>0</v>
      </c>
      <c r="G4" s="38">
        <f>+E4/C4</f>
        <v>0</v>
      </c>
      <c r="H4" s="80"/>
      <c r="I4" s="80">
        <f>SUM($H$4:H4)</f>
        <v>0</v>
      </c>
      <c r="J4" s="38">
        <f>H4/B4</f>
        <v>0</v>
      </c>
      <c r="K4" s="38">
        <f>I4/C4</f>
        <v>0</v>
      </c>
      <c r="L4" s="37" t="s">
        <v>38</v>
      </c>
      <c r="M4" s="44"/>
    </row>
    <row r="5" spans="1:13" ht="27" customHeight="1" thickBot="1" x14ac:dyDescent="0.9">
      <c r="A5" s="36">
        <v>0.35416666666666669</v>
      </c>
      <c r="B5" s="87">
        <f t="shared" ref="B5:B13" si="0">+(60*$L$8)/$L$9</f>
        <v>27.332776554551668</v>
      </c>
      <c r="C5" s="77" t="str">
        <f t="shared" ref="C5:C13" si="1">+IF(D5="","",B5+C4)</f>
        <v/>
      </c>
      <c r="D5" s="61"/>
      <c r="E5" s="37" t="str">
        <f>IF(D5="","",SUM($D$4:D5))</f>
        <v/>
      </c>
      <c r="F5" s="38">
        <f t="shared" ref="F5:F13" si="2">+D5/B5</f>
        <v>0</v>
      </c>
      <c r="G5" s="38" t="str">
        <f>IF(E5="","",(E5/C5))</f>
        <v/>
      </c>
      <c r="H5" s="80"/>
      <c r="I5" s="80">
        <f>SUM($H$4:H5)</f>
        <v>0</v>
      </c>
      <c r="J5" s="38">
        <f t="shared" ref="J5:J14" si="3">H5/B5</f>
        <v>0</v>
      </c>
      <c r="K5" s="38" t="str">
        <f>IF(H5="","",(I5/C5))</f>
        <v/>
      </c>
      <c r="L5" s="34" t="s">
        <v>9</v>
      </c>
      <c r="M5" s="44"/>
    </row>
    <row r="6" spans="1:13" ht="27" customHeight="1" thickBot="1" x14ac:dyDescent="0.9">
      <c r="A6" s="36">
        <v>0.39583333333333331</v>
      </c>
      <c r="B6" s="87">
        <f t="shared" si="0"/>
        <v>27.332776554551668</v>
      </c>
      <c r="C6" s="77" t="str">
        <f t="shared" si="1"/>
        <v/>
      </c>
      <c r="D6" s="61"/>
      <c r="E6" s="37" t="str">
        <f>IF(D6="","",SUM($D$4:D6))</f>
        <v/>
      </c>
      <c r="F6" s="38">
        <f t="shared" si="2"/>
        <v>0</v>
      </c>
      <c r="G6" s="38" t="str">
        <f t="shared" ref="G6:G13" si="4">IF(E6="","",(E6/C6))</f>
        <v/>
      </c>
      <c r="H6" s="80"/>
      <c r="I6" s="80">
        <f>SUM($H$4:H6)</f>
        <v>0</v>
      </c>
      <c r="J6" s="38">
        <f t="shared" si="3"/>
        <v>0</v>
      </c>
      <c r="K6" s="38" t="str">
        <f t="shared" ref="K6:K13" si="5">IF(H6="","",(I6/C6))</f>
        <v/>
      </c>
      <c r="L6" s="37">
        <v>46341005</v>
      </c>
      <c r="M6" s="44"/>
    </row>
    <row r="7" spans="1:13" ht="27" customHeight="1" thickBot="1" x14ac:dyDescent="0.9">
      <c r="A7" s="36">
        <v>0.4375</v>
      </c>
      <c r="B7" s="87">
        <f t="shared" si="0"/>
        <v>27.332776554551668</v>
      </c>
      <c r="C7" s="77" t="str">
        <f t="shared" si="1"/>
        <v/>
      </c>
      <c r="D7" s="61"/>
      <c r="E7" s="37" t="str">
        <f>IF(D7="","",SUM($D$4:D7))</f>
        <v/>
      </c>
      <c r="F7" s="38">
        <f t="shared" si="2"/>
        <v>0</v>
      </c>
      <c r="G7" s="38" t="str">
        <f t="shared" si="4"/>
        <v/>
      </c>
      <c r="H7" s="80"/>
      <c r="I7" s="80">
        <f>SUM($H$4:H7)</f>
        <v>0</v>
      </c>
      <c r="J7" s="38">
        <f t="shared" si="3"/>
        <v>0</v>
      </c>
      <c r="K7" s="38" t="str">
        <f t="shared" si="5"/>
        <v/>
      </c>
      <c r="L7" s="35" t="s">
        <v>10</v>
      </c>
      <c r="M7" s="44"/>
    </row>
    <row r="8" spans="1:13" ht="27" customHeight="1" thickBot="1" x14ac:dyDescent="0.9">
      <c r="A8" s="36">
        <v>0.47916666666666669</v>
      </c>
      <c r="B8" s="87">
        <f>+(40*$L$8)/$L$9</f>
        <v>18.221851036367777</v>
      </c>
      <c r="C8" s="77" t="str">
        <f t="shared" si="1"/>
        <v/>
      </c>
      <c r="D8" s="61"/>
      <c r="E8" s="37" t="str">
        <f>IF(D8="","",SUM($D$4:D8))</f>
        <v/>
      </c>
      <c r="F8" s="38">
        <f t="shared" si="2"/>
        <v>0</v>
      </c>
      <c r="G8" s="38" t="str">
        <f t="shared" si="4"/>
        <v/>
      </c>
      <c r="H8" s="80"/>
      <c r="I8" s="80">
        <f>SUM($H$4:H8)</f>
        <v>0</v>
      </c>
      <c r="J8" s="38">
        <f t="shared" si="3"/>
        <v>0</v>
      </c>
      <c r="K8" s="38" t="str">
        <f t="shared" si="5"/>
        <v/>
      </c>
      <c r="L8" s="77">
        <v>6</v>
      </c>
      <c r="M8" s="44"/>
    </row>
    <row r="9" spans="1:13" ht="27" customHeight="1" thickBot="1" x14ac:dyDescent="0.9">
      <c r="A9" s="36">
        <v>0.52083333333333337</v>
      </c>
      <c r="B9" s="87">
        <f t="shared" si="0"/>
        <v>27.332776554551668</v>
      </c>
      <c r="C9" s="77" t="str">
        <f t="shared" si="1"/>
        <v/>
      </c>
      <c r="D9" s="61"/>
      <c r="E9" s="37" t="str">
        <f>IF(D9="","",SUM($D$4:D9))</f>
        <v/>
      </c>
      <c r="F9" s="38">
        <f t="shared" si="2"/>
        <v>0</v>
      </c>
      <c r="G9" s="38" t="str">
        <f t="shared" si="4"/>
        <v/>
      </c>
      <c r="H9" s="80"/>
      <c r="I9" s="80">
        <f>SUM($H$4:H9)</f>
        <v>0</v>
      </c>
      <c r="J9" s="38">
        <f t="shared" si="3"/>
        <v>0</v>
      </c>
      <c r="K9" s="38" t="str">
        <f t="shared" si="5"/>
        <v/>
      </c>
      <c r="L9" s="93">
        <v>13.170999999999999</v>
      </c>
      <c r="M9" s="44"/>
    </row>
    <row r="10" spans="1:13" ht="27" customHeight="1" thickBot="1" x14ac:dyDescent="0.9">
      <c r="A10" s="36">
        <v>6.25E-2</v>
      </c>
      <c r="B10" s="87">
        <f t="shared" si="0"/>
        <v>27.332776554551668</v>
      </c>
      <c r="C10" s="77" t="str">
        <f t="shared" si="1"/>
        <v/>
      </c>
      <c r="D10" s="61"/>
      <c r="E10" s="37" t="str">
        <f>IF(D10="","",SUM($D$4:D10))</f>
        <v/>
      </c>
      <c r="F10" s="38">
        <f t="shared" si="2"/>
        <v>0</v>
      </c>
      <c r="G10" s="38" t="str">
        <f t="shared" si="4"/>
        <v/>
      </c>
      <c r="H10" s="80"/>
      <c r="I10" s="80">
        <f>SUM($H$4:H10)</f>
        <v>0</v>
      </c>
      <c r="J10" s="38">
        <f t="shared" si="3"/>
        <v>0</v>
      </c>
      <c r="K10" s="38" t="str">
        <f t="shared" si="5"/>
        <v/>
      </c>
      <c r="L10" s="39" t="s">
        <v>11</v>
      </c>
      <c r="M10" s="44"/>
    </row>
    <row r="11" spans="1:13" ht="27" customHeight="1" thickBot="1" x14ac:dyDescent="0.9">
      <c r="A11" s="36">
        <v>0.10416666666666667</v>
      </c>
      <c r="B11" s="87">
        <f t="shared" si="0"/>
        <v>27.332776554551668</v>
      </c>
      <c r="C11" s="77" t="str">
        <f t="shared" si="1"/>
        <v/>
      </c>
      <c r="D11" s="61"/>
      <c r="E11" s="37" t="str">
        <f>IF(D11="","",SUM($D$4:D11))</f>
        <v/>
      </c>
      <c r="F11" s="38">
        <f t="shared" si="2"/>
        <v>0</v>
      </c>
      <c r="G11" s="38" t="str">
        <f t="shared" si="4"/>
        <v/>
      </c>
      <c r="H11" s="80"/>
      <c r="I11" s="80">
        <f>SUM($H$4:H11)</f>
        <v>0</v>
      </c>
      <c r="J11" s="38">
        <f t="shared" si="3"/>
        <v>0</v>
      </c>
      <c r="K11" s="38" t="str">
        <f t="shared" si="5"/>
        <v/>
      </c>
      <c r="L11" s="102"/>
      <c r="M11" s="44"/>
    </row>
    <row r="12" spans="1:13" ht="27" customHeight="1" thickBot="1" x14ac:dyDescent="0.9">
      <c r="A12" s="36">
        <v>0.14583333333333334</v>
      </c>
      <c r="B12" s="87">
        <f t="shared" si="0"/>
        <v>27.332776554551668</v>
      </c>
      <c r="C12" s="77" t="str">
        <f t="shared" si="1"/>
        <v/>
      </c>
      <c r="D12" s="61"/>
      <c r="E12" s="37" t="str">
        <f>IF(D12="","",SUM($D$4:D12))</f>
        <v/>
      </c>
      <c r="F12" s="38">
        <f t="shared" si="2"/>
        <v>0</v>
      </c>
      <c r="G12" s="38" t="str">
        <f t="shared" si="4"/>
        <v/>
      </c>
      <c r="H12" s="80"/>
      <c r="I12" s="80">
        <f>SUM($H$4:H12)</f>
        <v>0</v>
      </c>
      <c r="J12" s="38">
        <f t="shared" si="3"/>
        <v>0</v>
      </c>
      <c r="K12" s="38" t="str">
        <f t="shared" si="5"/>
        <v/>
      </c>
      <c r="L12" s="102"/>
      <c r="M12" s="44"/>
    </row>
    <row r="13" spans="1:13" ht="27" customHeight="1" thickBot="1" x14ac:dyDescent="0.9">
      <c r="A13" s="36">
        <v>0.1875</v>
      </c>
      <c r="B13" s="87">
        <f t="shared" si="0"/>
        <v>27.332776554551668</v>
      </c>
      <c r="C13" s="77" t="str">
        <f t="shared" si="1"/>
        <v/>
      </c>
      <c r="D13" s="61"/>
      <c r="E13" s="37" t="str">
        <f>IF(D13="","",SUM($D$4:D13))</f>
        <v/>
      </c>
      <c r="F13" s="38">
        <f t="shared" si="2"/>
        <v>0</v>
      </c>
      <c r="G13" s="38" t="str">
        <f t="shared" si="4"/>
        <v/>
      </c>
      <c r="H13" s="80"/>
      <c r="I13" s="80">
        <f>SUM($H$4:H13)</f>
        <v>0</v>
      </c>
      <c r="J13" s="38">
        <f t="shared" si="3"/>
        <v>0</v>
      </c>
      <c r="K13" s="38" t="str">
        <f t="shared" si="5"/>
        <v/>
      </c>
      <c r="L13" s="102"/>
      <c r="M13" s="44"/>
    </row>
    <row r="14" spans="1:13" ht="17.399999999999999" x14ac:dyDescent="0.3">
      <c r="B14" s="90">
        <f>SUM(B4:B13)</f>
        <v>259.66137726824081</v>
      </c>
      <c r="C14" s="90">
        <f>+MAX(C4:C13)</f>
        <v>23</v>
      </c>
      <c r="D14">
        <f>+SUM(D4:D13)</f>
        <v>0</v>
      </c>
      <c r="J14" s="95">
        <f t="shared" si="3"/>
        <v>0</v>
      </c>
    </row>
  </sheetData>
  <mergeCells count="2">
    <mergeCell ref="F1:L2"/>
    <mergeCell ref="L11:L13"/>
  </mergeCells>
  <conditionalFormatting sqref="F4:G13">
    <cfRule type="cellIs" dxfId="2" priority="7" operator="greaterThan">
      <formula>0.81</formula>
    </cfRule>
    <cfRule type="cellIs" dxfId="1" priority="8" operator="between">
      <formula>0.61</formula>
      <formula>0.8</formula>
    </cfRule>
    <cfRule type="cellIs" dxfId="0" priority="9" operator="lessThan">
      <formula>0.6</formula>
    </cfRule>
  </conditionalFormatting>
  <conditionalFormatting sqref="H4:K13 J14">
    <cfRule type="cellIs" dxfId="142" priority="4" operator="greaterThan">
      <formula>0.81</formula>
    </cfRule>
    <cfRule type="cellIs" dxfId="141" priority="5" operator="between">
      <formula>0.61</formula>
      <formula>0.8</formula>
    </cfRule>
    <cfRule type="cellIs" dxfId="140" priority="6" operator="lessThan">
      <formula>0.6</formula>
    </cfRule>
  </conditionalFormatting>
  <conditionalFormatting sqref="H4:I13">
    <cfRule type="cellIs" dxfId="139" priority="1" operator="lessThan">
      <formula>1</formula>
    </cfRule>
    <cfRule type="cellIs" dxfId="138" priority="2" operator="greaterThanOrEqual">
      <formula>1</formula>
    </cfRule>
    <cfRule type="cellIs" dxfId="137" priority="3" operator="greaterThan">
      <formula>0</formula>
    </cfRule>
  </conditionalFormatting>
  <dataValidations count="1">
    <dataValidation type="list" allowBlank="1" showInputMessage="1" showErrorMessage="1" sqref="K4:K13" xr:uid="{D9A30DE3-FD42-424C-A34A-FCC306DF9AF2}">
      <formula1>"SI,NO"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D4296-9643-4B67-B7BE-FB4AE27A7CD7}">
  <sheetPr codeName="Hoja3">
    <tabColor rgb="FF00B0F0"/>
  </sheetPr>
  <dimension ref="A1:M13"/>
  <sheetViews>
    <sheetView zoomScale="70" zoomScaleNormal="70" workbookViewId="0">
      <selection activeCell="B4" sqref="B4"/>
    </sheetView>
  </sheetViews>
  <sheetFormatPr baseColWidth="10" defaultColWidth="11.44140625" defaultRowHeight="14.4" x14ac:dyDescent="0.3"/>
  <cols>
    <col min="1" max="1" width="49.109375" bestFit="1" customWidth="1"/>
    <col min="2" max="5" width="11.5546875" customWidth="1"/>
    <col min="6" max="11" width="14.44140625" customWidth="1"/>
    <col min="12" max="12" width="16.109375" customWidth="1"/>
  </cols>
  <sheetData>
    <row r="1" spans="1:13" ht="88.5" customHeight="1" thickBot="1" x14ac:dyDescent="0.35">
      <c r="A1" s="15" t="s">
        <v>14</v>
      </c>
      <c r="B1" s="42"/>
      <c r="C1" s="42"/>
      <c r="D1" s="42"/>
      <c r="E1" s="42"/>
      <c r="F1" s="105"/>
      <c r="G1" s="106"/>
      <c r="H1" s="106"/>
      <c r="I1" s="106"/>
      <c r="J1" s="106"/>
      <c r="K1" s="106"/>
      <c r="L1" s="106"/>
    </row>
    <row r="2" spans="1:13" s="22" customFormat="1" ht="33.75" customHeight="1" thickBot="1" x14ac:dyDescent="0.7">
      <c r="A2" s="43">
        <f ca="1">TODAY()</f>
        <v>44886</v>
      </c>
      <c r="B2" s="45"/>
      <c r="C2" s="45"/>
      <c r="D2" s="45"/>
      <c r="E2" s="45"/>
      <c r="F2" s="107"/>
      <c r="G2" s="108"/>
      <c r="H2" s="108"/>
      <c r="I2" s="108"/>
      <c r="J2" s="108"/>
      <c r="K2" s="108"/>
      <c r="L2" s="108"/>
      <c r="M2" s="21"/>
    </row>
    <row r="3" spans="1:13" ht="65.25" customHeight="1" thickBot="1" x14ac:dyDescent="0.35">
      <c r="A3" s="34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12"/>
    </row>
    <row r="4" spans="1:13" ht="27" customHeight="1" thickBot="1" x14ac:dyDescent="0.35">
      <c r="A4" s="46">
        <v>0.3125</v>
      </c>
      <c r="B4" s="87">
        <f>+(50*$L$8)/$L$9</f>
        <v>23.796932839767319</v>
      </c>
      <c r="C4" s="77">
        <f>+SUM($B$4:B4)</f>
        <v>23.796932839767319</v>
      </c>
      <c r="D4" s="61"/>
      <c r="E4" s="37">
        <f>+SUM($D$4:D4)</f>
        <v>0</v>
      </c>
      <c r="F4" s="38">
        <f>+D4/B4</f>
        <v>0</v>
      </c>
      <c r="G4" s="38">
        <f>+E4/C4</f>
        <v>0</v>
      </c>
      <c r="H4" s="80"/>
      <c r="I4" s="80">
        <f>SUM($H$4:H4)</f>
        <v>0</v>
      </c>
      <c r="J4" s="38">
        <f>H4/B4</f>
        <v>0</v>
      </c>
      <c r="K4" s="38">
        <f>I4/C4</f>
        <v>0</v>
      </c>
      <c r="L4" s="37"/>
      <c r="M4" s="44"/>
    </row>
    <row r="5" spans="1:13" ht="27" customHeight="1" thickBot="1" x14ac:dyDescent="0.35">
      <c r="A5" s="46">
        <v>0.35416666666666669</v>
      </c>
      <c r="B5" s="87">
        <f>+(60*$L$8)/$L$9</f>
        <v>28.556319407720782</v>
      </c>
      <c r="C5" s="77" t="str">
        <f>+IF(D5="","",B5+C4)</f>
        <v/>
      </c>
      <c r="D5" s="61"/>
      <c r="E5" s="37" t="str">
        <f>IF(D5="","",SUM($D$4:D5))</f>
        <v/>
      </c>
      <c r="F5" s="38">
        <f t="shared" ref="F5:F13" si="0">+D5/B5</f>
        <v>0</v>
      </c>
      <c r="G5" s="38" t="str">
        <f>IF(E5="","",(E5/C5))</f>
        <v/>
      </c>
      <c r="H5" s="80"/>
      <c r="I5" s="80">
        <f>SUM($H$4:H5)</f>
        <v>0</v>
      </c>
      <c r="J5" s="38">
        <f t="shared" ref="J5:J13" si="1">H5/B5</f>
        <v>0</v>
      </c>
      <c r="K5" s="38" t="str">
        <f>IF(H5="","",(I5/C5))</f>
        <v/>
      </c>
      <c r="L5" s="34" t="s">
        <v>9</v>
      </c>
      <c r="M5" s="44"/>
    </row>
    <row r="6" spans="1:13" ht="27" customHeight="1" thickBot="1" x14ac:dyDescent="0.35">
      <c r="A6" s="46">
        <v>0.39583333333333331</v>
      </c>
      <c r="B6" s="87">
        <f t="shared" ref="B6:B13" si="2">+(60*$L$8)/$L$9</f>
        <v>28.556319407720782</v>
      </c>
      <c r="C6" s="77" t="str">
        <f t="shared" ref="C6:C13" si="3">+IF(D6="","",B6+C5)</f>
        <v/>
      </c>
      <c r="D6" s="61"/>
      <c r="E6" s="37" t="str">
        <f>IF(D6="","",SUM($D$4:D6))</f>
        <v/>
      </c>
      <c r="F6" s="38">
        <f t="shared" si="0"/>
        <v>0</v>
      </c>
      <c r="G6" s="38" t="str">
        <f t="shared" ref="G6:G13" si="4">IF(E6="","",(E6/C6))</f>
        <v/>
      </c>
      <c r="H6" s="80"/>
      <c r="I6" s="80">
        <f>SUM($H$4:H6)</f>
        <v>0</v>
      </c>
      <c r="J6" s="38">
        <f t="shared" si="1"/>
        <v>0</v>
      </c>
      <c r="K6" s="38" t="str">
        <f t="shared" ref="K6:K13" si="5">IF(H6="","",(I6/C6))</f>
        <v/>
      </c>
      <c r="L6" s="37"/>
      <c r="M6" s="44"/>
    </row>
    <row r="7" spans="1:13" ht="27" customHeight="1" thickBot="1" x14ac:dyDescent="0.35">
      <c r="A7" s="46">
        <v>0.4375</v>
      </c>
      <c r="B7" s="87">
        <f t="shared" si="2"/>
        <v>28.556319407720782</v>
      </c>
      <c r="C7" s="77" t="str">
        <f t="shared" si="3"/>
        <v/>
      </c>
      <c r="D7" s="61"/>
      <c r="E7" s="37" t="str">
        <f>IF(D7="","",SUM($D$4:D7))</f>
        <v/>
      </c>
      <c r="F7" s="38">
        <f t="shared" si="0"/>
        <v>0</v>
      </c>
      <c r="G7" s="38" t="str">
        <f t="shared" si="4"/>
        <v/>
      </c>
      <c r="H7" s="80"/>
      <c r="I7" s="80">
        <f>SUM($H$4:H7)</f>
        <v>0</v>
      </c>
      <c r="J7" s="38">
        <f t="shared" si="1"/>
        <v>0</v>
      </c>
      <c r="K7" s="38" t="str">
        <f t="shared" si="5"/>
        <v/>
      </c>
      <c r="L7" s="35" t="s">
        <v>10</v>
      </c>
      <c r="M7" s="44"/>
    </row>
    <row r="8" spans="1:13" ht="27" customHeight="1" thickBot="1" x14ac:dyDescent="0.35">
      <c r="A8" s="46">
        <v>0.47916666666666669</v>
      </c>
      <c r="B8" s="87">
        <f t="shared" si="2"/>
        <v>28.556319407720782</v>
      </c>
      <c r="C8" s="77" t="str">
        <f t="shared" si="3"/>
        <v/>
      </c>
      <c r="D8" s="61"/>
      <c r="E8" s="37" t="str">
        <f>IF(D8="","",SUM($D$4:D8))</f>
        <v/>
      </c>
      <c r="F8" s="38">
        <f t="shared" si="0"/>
        <v>0</v>
      </c>
      <c r="G8" s="38" t="str">
        <f t="shared" si="4"/>
        <v/>
      </c>
      <c r="H8" s="80"/>
      <c r="I8" s="80">
        <f>SUM($H$4:H8)</f>
        <v>0</v>
      </c>
      <c r="J8" s="38">
        <f t="shared" si="1"/>
        <v>0</v>
      </c>
      <c r="K8" s="38" t="str">
        <f t="shared" si="5"/>
        <v/>
      </c>
      <c r="L8" s="37">
        <v>9</v>
      </c>
      <c r="M8" s="44"/>
    </row>
    <row r="9" spans="1:13" ht="27" customHeight="1" thickBot="1" x14ac:dyDescent="0.35">
      <c r="A9" s="46">
        <v>0.52083333333333337</v>
      </c>
      <c r="B9" s="87">
        <f>+(40*$L$8)/$L$9</f>
        <v>19.037546271813856</v>
      </c>
      <c r="C9" s="77" t="str">
        <f t="shared" si="3"/>
        <v/>
      </c>
      <c r="D9" s="61"/>
      <c r="E9" s="37" t="str">
        <f>IF(D9="","",SUM($D$4:D9))</f>
        <v/>
      </c>
      <c r="F9" s="38">
        <f t="shared" si="0"/>
        <v>0</v>
      </c>
      <c r="G9" s="38" t="str">
        <f t="shared" si="4"/>
        <v/>
      </c>
      <c r="H9" s="80"/>
      <c r="I9" s="80">
        <f>SUM($H$4:H9)</f>
        <v>0</v>
      </c>
      <c r="J9" s="38">
        <f t="shared" si="1"/>
        <v>0</v>
      </c>
      <c r="K9" s="38" t="str">
        <f t="shared" si="5"/>
        <v/>
      </c>
      <c r="L9" s="37">
        <v>18.91</v>
      </c>
      <c r="M9" s="44"/>
    </row>
    <row r="10" spans="1:13" ht="27" customHeight="1" thickBot="1" x14ac:dyDescent="0.35">
      <c r="A10" s="46">
        <v>6.25E-2</v>
      </c>
      <c r="B10" s="87">
        <f t="shared" si="2"/>
        <v>28.556319407720782</v>
      </c>
      <c r="C10" s="77" t="str">
        <f t="shared" si="3"/>
        <v/>
      </c>
      <c r="D10" s="61"/>
      <c r="E10" s="37" t="str">
        <f>IF(D10="","",SUM($D$4:D10))</f>
        <v/>
      </c>
      <c r="F10" s="38">
        <f t="shared" si="0"/>
        <v>0</v>
      </c>
      <c r="G10" s="38" t="str">
        <f t="shared" si="4"/>
        <v/>
      </c>
      <c r="H10" s="80"/>
      <c r="I10" s="80">
        <f>SUM($H$4:H10)</f>
        <v>0</v>
      </c>
      <c r="J10" s="38">
        <f t="shared" si="1"/>
        <v>0</v>
      </c>
      <c r="K10" s="38" t="str">
        <f t="shared" si="5"/>
        <v/>
      </c>
      <c r="L10" s="39" t="s">
        <v>11</v>
      </c>
      <c r="M10" s="44"/>
    </row>
    <row r="11" spans="1:13" ht="27" customHeight="1" thickBot="1" x14ac:dyDescent="0.35">
      <c r="A11" s="46">
        <v>0.10416666666666667</v>
      </c>
      <c r="B11" s="87">
        <f t="shared" si="2"/>
        <v>28.556319407720782</v>
      </c>
      <c r="C11" s="77" t="str">
        <f t="shared" si="3"/>
        <v/>
      </c>
      <c r="D11" s="61"/>
      <c r="E11" s="37" t="str">
        <f>IF(D11="","",SUM($D$4:D11))</f>
        <v/>
      </c>
      <c r="F11" s="38">
        <f t="shared" si="0"/>
        <v>0</v>
      </c>
      <c r="G11" s="38" t="str">
        <f t="shared" si="4"/>
        <v/>
      </c>
      <c r="H11" s="80"/>
      <c r="I11" s="80">
        <f>SUM($H$4:H11)</f>
        <v>0</v>
      </c>
      <c r="J11" s="38">
        <f t="shared" si="1"/>
        <v>0</v>
      </c>
      <c r="K11" s="38" t="str">
        <f t="shared" si="5"/>
        <v/>
      </c>
      <c r="L11" s="102"/>
      <c r="M11" s="44"/>
    </row>
    <row r="12" spans="1:13" ht="27" customHeight="1" thickBot="1" x14ac:dyDescent="0.35">
      <c r="A12" s="46">
        <v>0.14583333333333334</v>
      </c>
      <c r="B12" s="87">
        <f t="shared" si="2"/>
        <v>28.556319407720782</v>
      </c>
      <c r="C12" s="77" t="str">
        <f t="shared" si="3"/>
        <v/>
      </c>
      <c r="D12" s="61"/>
      <c r="E12" s="37" t="str">
        <f>IF(D12="","",SUM($D$4:D12))</f>
        <v/>
      </c>
      <c r="F12" s="38">
        <f t="shared" si="0"/>
        <v>0</v>
      </c>
      <c r="G12" s="38" t="str">
        <f t="shared" si="4"/>
        <v/>
      </c>
      <c r="H12" s="80"/>
      <c r="I12" s="80">
        <f>SUM($H$4:H12)</f>
        <v>0</v>
      </c>
      <c r="J12" s="38">
        <f t="shared" si="1"/>
        <v>0</v>
      </c>
      <c r="K12" s="38" t="str">
        <f t="shared" si="5"/>
        <v/>
      </c>
      <c r="L12" s="102"/>
      <c r="M12" s="44"/>
    </row>
    <row r="13" spans="1:13" ht="27" customHeight="1" thickBot="1" x14ac:dyDescent="0.35">
      <c r="A13" s="46">
        <v>0.1875</v>
      </c>
      <c r="B13" s="87">
        <f t="shared" si="2"/>
        <v>28.556319407720782</v>
      </c>
      <c r="C13" s="77" t="str">
        <f t="shared" si="3"/>
        <v/>
      </c>
      <c r="D13" s="61"/>
      <c r="E13" s="37" t="str">
        <f>IF(D13="","",SUM($D$4:D13))</f>
        <v/>
      </c>
      <c r="F13" s="38">
        <f t="shared" si="0"/>
        <v>0</v>
      </c>
      <c r="G13" s="38" t="str">
        <f t="shared" si="4"/>
        <v/>
      </c>
      <c r="H13" s="80"/>
      <c r="I13" s="80">
        <f>SUM($H$4:H13)</f>
        <v>0</v>
      </c>
      <c r="J13" s="38">
        <f t="shared" si="1"/>
        <v>0</v>
      </c>
      <c r="K13" s="38" t="str">
        <f t="shared" si="5"/>
        <v/>
      </c>
      <c r="L13" s="102"/>
      <c r="M13" s="44"/>
    </row>
  </sheetData>
  <mergeCells count="2">
    <mergeCell ref="F1:L2"/>
    <mergeCell ref="L11:L13"/>
  </mergeCells>
  <conditionalFormatting sqref="F4:G13">
    <cfRule type="cellIs" dxfId="136" priority="7" operator="greaterThan">
      <formula>0.81</formula>
    </cfRule>
    <cfRule type="cellIs" dxfId="135" priority="8" operator="between">
      <formula>0.61</formula>
      <formula>0.8</formula>
    </cfRule>
    <cfRule type="cellIs" dxfId="134" priority="9" operator="lessThan">
      <formula>0.6</formula>
    </cfRule>
  </conditionalFormatting>
  <conditionalFormatting sqref="H4:K13">
    <cfRule type="cellIs" dxfId="133" priority="4" operator="greaterThan">
      <formula>0.81</formula>
    </cfRule>
    <cfRule type="cellIs" dxfId="132" priority="5" operator="between">
      <formula>0.61</formula>
      <formula>0.8</formula>
    </cfRule>
    <cfRule type="cellIs" dxfId="131" priority="6" operator="lessThan">
      <formula>0.6</formula>
    </cfRule>
  </conditionalFormatting>
  <conditionalFormatting sqref="H4:I13">
    <cfRule type="cellIs" dxfId="130" priority="1" operator="lessThan">
      <formula>1</formula>
    </cfRule>
    <cfRule type="cellIs" dxfId="129" priority="2" operator="greaterThanOrEqual">
      <formula>1</formula>
    </cfRule>
    <cfRule type="cellIs" dxfId="128" priority="3" operator="greaterThan">
      <formula>0</formula>
    </cfRule>
  </conditionalFormatting>
  <dataValidations count="1">
    <dataValidation type="list" allowBlank="1" showInputMessage="1" showErrorMessage="1" sqref="K4:K13" xr:uid="{FB1F868D-DB8B-439B-8013-10560CB3D957}">
      <formula1>"SI,NO"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2AD2-D5BA-467E-A3D6-02FC327E143C}">
  <sheetPr codeName="Hoja5">
    <tabColor rgb="FF00B0F0"/>
  </sheetPr>
  <dimension ref="A1:S26"/>
  <sheetViews>
    <sheetView topLeftCell="A2" zoomScale="70" zoomScaleNormal="70" workbookViewId="0">
      <selection activeCell="B4" sqref="B4:B13"/>
    </sheetView>
  </sheetViews>
  <sheetFormatPr baseColWidth="10" defaultColWidth="11.44140625" defaultRowHeight="14.4" x14ac:dyDescent="0.3"/>
  <cols>
    <col min="1" max="1" width="48.5546875" bestFit="1" customWidth="1"/>
    <col min="2" max="2" width="11.5546875" customWidth="1"/>
    <col min="3" max="3" width="11.44140625" customWidth="1"/>
    <col min="5" max="5" width="16.33203125" customWidth="1"/>
    <col min="9" max="9" width="11.44140625" customWidth="1"/>
    <col min="11" max="11" width="12.5546875" bestFit="1" customWidth="1"/>
    <col min="12" max="12" width="16.109375" customWidth="1"/>
    <col min="14" max="14" width="15.88671875" bestFit="1" customWidth="1"/>
  </cols>
  <sheetData>
    <row r="1" spans="1:15" ht="88.5" customHeight="1" thickBot="1" x14ac:dyDescent="0.35">
      <c r="A1" s="15" t="s">
        <v>18</v>
      </c>
      <c r="B1" s="16"/>
      <c r="C1" s="16"/>
      <c r="D1" s="16"/>
      <c r="E1" s="16"/>
      <c r="F1" s="103"/>
      <c r="G1" s="103"/>
      <c r="H1" s="103"/>
      <c r="I1" s="103"/>
      <c r="J1" s="103"/>
      <c r="K1" s="103"/>
      <c r="L1" s="103"/>
    </row>
    <row r="2" spans="1:15" ht="35.25" customHeight="1" thickBot="1" x14ac:dyDescent="0.35">
      <c r="A2" s="65">
        <f ca="1">TODAY()</f>
        <v>44886</v>
      </c>
      <c r="B2" s="42"/>
      <c r="C2" s="42"/>
      <c r="D2" s="42"/>
      <c r="E2" s="42"/>
      <c r="F2" s="104"/>
      <c r="G2" s="104"/>
      <c r="H2" s="104"/>
      <c r="I2" s="104"/>
      <c r="J2" s="104"/>
      <c r="K2" s="104"/>
      <c r="L2" s="104"/>
      <c r="M2" s="12"/>
    </row>
    <row r="3" spans="1:15" ht="65.25" customHeight="1" thickBot="1" x14ac:dyDescent="0.35">
      <c r="A3" s="35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12"/>
    </row>
    <row r="4" spans="1:15" ht="27" customHeight="1" thickBot="1" x14ac:dyDescent="0.35">
      <c r="A4" s="46">
        <v>0.3125</v>
      </c>
      <c r="B4" s="87">
        <f>(50*$L$8)/$L$9</f>
        <v>12.723293806300575</v>
      </c>
      <c r="C4" s="77">
        <f>+SUM($B$4:B4)</f>
        <v>12.723293806300575</v>
      </c>
      <c r="D4" s="61"/>
      <c r="E4" s="37">
        <f>+SUM($D$4:D4)</f>
        <v>0</v>
      </c>
      <c r="F4" s="38">
        <f>+D4/B4</f>
        <v>0</v>
      </c>
      <c r="G4" s="38">
        <f>+E4/C4</f>
        <v>0</v>
      </c>
      <c r="H4" s="80"/>
      <c r="I4" s="80">
        <f>SUM($H$4:H4)</f>
        <v>0</v>
      </c>
      <c r="J4" s="38">
        <f>+H4/B4</f>
        <v>0</v>
      </c>
      <c r="K4" s="38">
        <f>+I4/C4</f>
        <v>0</v>
      </c>
      <c r="L4" s="37" t="s">
        <v>42</v>
      </c>
      <c r="M4" s="44"/>
    </row>
    <row r="5" spans="1:15" ht="27" customHeight="1" thickBot="1" x14ac:dyDescent="0.35">
      <c r="A5" s="46">
        <v>0.35416666666666669</v>
      </c>
      <c r="B5" s="87">
        <f t="shared" ref="B5:B13" si="0">(50*$L$8)/$L$9</f>
        <v>12.723293806300575</v>
      </c>
      <c r="C5" s="77" t="str">
        <f t="shared" ref="C5:C13" si="1">+IF(D5="","",B5+C4)</f>
        <v/>
      </c>
      <c r="D5" s="61"/>
      <c r="E5" s="37" t="str">
        <f>IF(D5="","",SUM($D$4:D5))</f>
        <v/>
      </c>
      <c r="F5" s="38">
        <f t="shared" ref="F5:F14" si="2">+D5/B5</f>
        <v>0</v>
      </c>
      <c r="G5" s="38" t="str">
        <f>IF(E5="","",(E5/C5))</f>
        <v/>
      </c>
      <c r="H5" s="80"/>
      <c r="I5" s="80">
        <f>SUM($H$4:H5)</f>
        <v>0</v>
      </c>
      <c r="J5" s="38">
        <f t="shared" ref="J5:J14" si="3">+H5/B5</f>
        <v>0</v>
      </c>
      <c r="K5" s="38" t="str">
        <f>IF(H5="","",(I5/C5))</f>
        <v/>
      </c>
      <c r="L5" s="34" t="s">
        <v>9</v>
      </c>
      <c r="M5" s="44"/>
    </row>
    <row r="6" spans="1:15" ht="27" customHeight="1" thickBot="1" x14ac:dyDescent="0.35">
      <c r="A6" s="46">
        <v>0.39583333333333331</v>
      </c>
      <c r="B6" s="87">
        <f t="shared" si="0"/>
        <v>12.723293806300575</v>
      </c>
      <c r="C6" s="77" t="str">
        <f t="shared" si="1"/>
        <v/>
      </c>
      <c r="D6" s="61"/>
      <c r="E6" s="37" t="str">
        <f>IF(D6="","",SUM($D$4:D6))</f>
        <v/>
      </c>
      <c r="F6" s="38">
        <f t="shared" si="2"/>
        <v>0</v>
      </c>
      <c r="G6" s="38" t="str">
        <f>IF(E6="","",(E6/C6))</f>
        <v/>
      </c>
      <c r="H6" s="80"/>
      <c r="I6" s="80">
        <f>SUM($H$4:H6)</f>
        <v>0</v>
      </c>
      <c r="J6" s="38">
        <f t="shared" si="3"/>
        <v>0</v>
      </c>
      <c r="K6" s="38" t="str">
        <f t="shared" ref="K6:K13" si="4">IF(H6="","",(I6/C6))</f>
        <v/>
      </c>
      <c r="L6" s="93">
        <v>46261002</v>
      </c>
      <c r="M6" s="44"/>
      <c r="N6" s="77"/>
      <c r="O6" s="78"/>
    </row>
    <row r="7" spans="1:15" ht="35.4" thickBot="1" x14ac:dyDescent="0.35">
      <c r="A7" s="46">
        <v>0.4375</v>
      </c>
      <c r="B7" s="87">
        <f t="shared" si="0"/>
        <v>12.723293806300575</v>
      </c>
      <c r="C7" s="77" t="str">
        <f t="shared" si="1"/>
        <v/>
      </c>
      <c r="D7" s="61"/>
      <c r="E7" s="37" t="str">
        <f>IF(D7="","",SUM($D$4:D7))</f>
        <v/>
      </c>
      <c r="F7" s="38">
        <f t="shared" si="2"/>
        <v>0</v>
      </c>
      <c r="G7" s="38" t="str">
        <f t="shared" ref="G7:G13" si="5">IF(E7="","",(E7/C7))</f>
        <v/>
      </c>
      <c r="H7" s="80"/>
      <c r="I7" s="80">
        <f>SUM($H$4:H7)</f>
        <v>0</v>
      </c>
      <c r="J7" s="38">
        <f t="shared" si="3"/>
        <v>0</v>
      </c>
      <c r="K7" s="38" t="str">
        <f t="shared" si="4"/>
        <v/>
      </c>
      <c r="L7" s="34" t="s">
        <v>10</v>
      </c>
      <c r="M7" s="44"/>
    </row>
    <row r="8" spans="1:15" ht="27" customHeight="1" thickBot="1" x14ac:dyDescent="0.35">
      <c r="A8" s="46">
        <v>0.47916666666666669</v>
      </c>
      <c r="B8" s="87">
        <f t="shared" si="0"/>
        <v>12.723293806300575</v>
      </c>
      <c r="C8" s="77" t="str">
        <f t="shared" si="1"/>
        <v/>
      </c>
      <c r="D8" s="61"/>
      <c r="E8" s="37" t="str">
        <f>IF(D8="","",SUM($D$4:D8))</f>
        <v/>
      </c>
      <c r="F8" s="38">
        <f t="shared" si="2"/>
        <v>0</v>
      </c>
      <c r="G8" s="38" t="str">
        <f t="shared" si="5"/>
        <v/>
      </c>
      <c r="H8" s="80"/>
      <c r="I8" s="80">
        <f>SUM($H$4:H8)</f>
        <v>0</v>
      </c>
      <c r="J8" s="38">
        <f t="shared" si="3"/>
        <v>0</v>
      </c>
      <c r="K8" s="38" t="str">
        <f t="shared" si="4"/>
        <v/>
      </c>
      <c r="L8" s="62">
        <v>5</v>
      </c>
      <c r="M8" s="44"/>
      <c r="O8" s="78">
        <v>5</v>
      </c>
    </row>
    <row r="9" spans="1:15" ht="27" customHeight="1" thickBot="1" x14ac:dyDescent="0.35">
      <c r="A9" s="46">
        <v>0.52083333333333337</v>
      </c>
      <c r="B9" s="87">
        <f t="shared" si="0"/>
        <v>12.723293806300575</v>
      </c>
      <c r="C9" s="77" t="str">
        <f t="shared" si="1"/>
        <v/>
      </c>
      <c r="D9" s="61"/>
      <c r="E9" s="37" t="str">
        <f>IF(D9="","",SUM($D$4:D9))</f>
        <v/>
      </c>
      <c r="F9" s="38">
        <f t="shared" si="2"/>
        <v>0</v>
      </c>
      <c r="G9" s="38" t="str">
        <f t="shared" si="5"/>
        <v/>
      </c>
      <c r="H9" s="80"/>
      <c r="I9" s="80">
        <f>SUM($H$4:H9)</f>
        <v>0</v>
      </c>
      <c r="J9" s="38">
        <f t="shared" si="3"/>
        <v>0</v>
      </c>
      <c r="K9" s="38" t="str">
        <f t="shared" si="4"/>
        <v/>
      </c>
      <c r="L9" s="94">
        <v>19.649000000000001</v>
      </c>
      <c r="M9" s="44"/>
      <c r="O9">
        <v>20</v>
      </c>
    </row>
    <row r="10" spans="1:15" ht="27" customHeight="1" thickBot="1" x14ac:dyDescent="0.35">
      <c r="A10" s="46">
        <v>6.25E-2</v>
      </c>
      <c r="B10" s="87">
        <f t="shared" si="0"/>
        <v>12.723293806300575</v>
      </c>
      <c r="C10" s="77" t="str">
        <f t="shared" si="1"/>
        <v/>
      </c>
      <c r="D10" s="61"/>
      <c r="E10" s="37" t="str">
        <f>IF(D10="","",SUM($D$4:D10))</f>
        <v/>
      </c>
      <c r="F10" s="38">
        <f t="shared" si="2"/>
        <v>0</v>
      </c>
      <c r="G10" s="38" t="str">
        <f t="shared" si="5"/>
        <v/>
      </c>
      <c r="H10" s="80"/>
      <c r="I10" s="80">
        <f>SUM($H$4:H10)</f>
        <v>0</v>
      </c>
      <c r="J10" s="38">
        <f t="shared" si="3"/>
        <v>0</v>
      </c>
      <c r="K10" s="38" t="str">
        <f t="shared" si="4"/>
        <v/>
      </c>
      <c r="L10" s="34" t="s">
        <v>11</v>
      </c>
      <c r="M10" s="44"/>
    </row>
    <row r="11" spans="1:15" ht="27" customHeight="1" thickBot="1" x14ac:dyDescent="0.35">
      <c r="A11" s="46">
        <v>0.10416666666666667</v>
      </c>
      <c r="B11" s="87">
        <f t="shared" si="0"/>
        <v>12.723293806300575</v>
      </c>
      <c r="C11" s="77" t="str">
        <f t="shared" si="1"/>
        <v/>
      </c>
      <c r="D11" s="61"/>
      <c r="E11" s="37" t="str">
        <f>IF(D11="","",SUM($D$4:D11))</f>
        <v/>
      </c>
      <c r="F11" s="38">
        <f t="shared" si="2"/>
        <v>0</v>
      </c>
      <c r="G11" s="38" t="str">
        <f t="shared" si="5"/>
        <v/>
      </c>
      <c r="H11" s="80"/>
      <c r="I11" s="80">
        <f>SUM($H$4:H11)</f>
        <v>0</v>
      </c>
      <c r="J11" s="38">
        <f t="shared" si="3"/>
        <v>0</v>
      </c>
      <c r="K11" s="38" t="str">
        <f t="shared" si="4"/>
        <v/>
      </c>
      <c r="L11" s="102"/>
      <c r="M11" s="44"/>
    </row>
    <row r="12" spans="1:15" ht="27" customHeight="1" thickBot="1" x14ac:dyDescent="0.35">
      <c r="A12" s="46">
        <v>0.14583333333333334</v>
      </c>
      <c r="B12" s="87">
        <f t="shared" si="0"/>
        <v>12.723293806300575</v>
      </c>
      <c r="C12" s="77" t="str">
        <f t="shared" si="1"/>
        <v/>
      </c>
      <c r="D12" s="61"/>
      <c r="E12" s="37" t="str">
        <f>IF(D12="","",SUM($D$4:D12))</f>
        <v/>
      </c>
      <c r="F12" s="38">
        <f t="shared" si="2"/>
        <v>0</v>
      </c>
      <c r="G12" s="38" t="str">
        <f t="shared" si="5"/>
        <v/>
      </c>
      <c r="H12" s="80"/>
      <c r="I12" s="80">
        <f>SUM($H$4:H12)</f>
        <v>0</v>
      </c>
      <c r="J12" s="38">
        <f t="shared" si="3"/>
        <v>0</v>
      </c>
      <c r="K12" s="38" t="str">
        <f t="shared" si="4"/>
        <v/>
      </c>
      <c r="L12" s="102"/>
      <c r="M12" s="44"/>
    </row>
    <row r="13" spans="1:15" ht="27" customHeight="1" thickBot="1" x14ac:dyDescent="0.35">
      <c r="A13" s="46">
        <v>0.1875</v>
      </c>
      <c r="B13" s="87">
        <f t="shared" si="0"/>
        <v>12.723293806300575</v>
      </c>
      <c r="C13" s="77" t="str">
        <f t="shared" si="1"/>
        <v/>
      </c>
      <c r="D13" s="61"/>
      <c r="E13" s="37" t="str">
        <f>IF(D13="","",SUM($D$4:D13))</f>
        <v/>
      </c>
      <c r="F13" s="38">
        <f t="shared" si="2"/>
        <v>0</v>
      </c>
      <c r="G13" s="38" t="str">
        <f t="shared" si="5"/>
        <v/>
      </c>
      <c r="H13" s="80"/>
      <c r="I13" s="80">
        <f>SUM($H$4:H13)</f>
        <v>0</v>
      </c>
      <c r="J13" s="38">
        <f t="shared" si="3"/>
        <v>0</v>
      </c>
      <c r="K13" s="38" t="str">
        <f t="shared" si="4"/>
        <v/>
      </c>
      <c r="L13" s="102"/>
      <c r="M13" s="44"/>
    </row>
    <row r="14" spans="1:15" ht="17.399999999999999" x14ac:dyDescent="0.3">
      <c r="B14" s="90">
        <f>SUM(B4:B13)</f>
        <v>127.23293806300575</v>
      </c>
      <c r="C14" s="88">
        <f>+MAX(C4:C13)</f>
        <v>12.723293806300575</v>
      </c>
      <c r="F14" s="95">
        <f t="shared" si="2"/>
        <v>0</v>
      </c>
      <c r="J14" s="95">
        <f t="shared" si="3"/>
        <v>0</v>
      </c>
    </row>
    <row r="17" spans="9:19" x14ac:dyDescent="0.3">
      <c r="K17">
        <v>22</v>
      </c>
    </row>
    <row r="22" spans="9:19" x14ac:dyDescent="0.3">
      <c r="I22">
        <v>46261001</v>
      </c>
    </row>
    <row r="26" spans="9:19" x14ac:dyDescent="0.3">
      <c r="S26" t="s">
        <v>34</v>
      </c>
    </row>
  </sheetData>
  <mergeCells count="2">
    <mergeCell ref="F1:L2"/>
    <mergeCell ref="L11:L13"/>
  </mergeCells>
  <phoneticPr fontId="25" type="noConversion"/>
  <conditionalFormatting sqref="F4:K13 F14 J14">
    <cfRule type="cellIs" dxfId="121" priority="7" operator="greaterThan">
      <formula>0.81</formula>
    </cfRule>
    <cfRule type="cellIs" dxfId="120" priority="8" operator="between">
      <formula>0.61</formula>
      <formula>0.8</formula>
    </cfRule>
    <cfRule type="cellIs" dxfId="119" priority="9" operator="lessThan">
      <formula>0.6</formula>
    </cfRule>
  </conditionalFormatting>
  <conditionalFormatting sqref="K4:K13">
    <cfRule type="cellIs" dxfId="118" priority="5" operator="equal">
      <formula>"SI"</formula>
    </cfRule>
    <cfRule type="cellIs" dxfId="117" priority="6" operator="equal">
      <formula>"NO"</formula>
    </cfRule>
  </conditionalFormatting>
  <conditionalFormatting sqref="H4:H13">
    <cfRule type="cellIs" dxfId="116" priority="3" operator="lessThan">
      <formula>1</formula>
    </cfRule>
    <cfRule type="cellIs" dxfId="115" priority="4" operator="greaterThanOrEqual">
      <formula>1</formula>
    </cfRule>
  </conditionalFormatting>
  <conditionalFormatting sqref="I4:I13">
    <cfRule type="cellIs" dxfId="114" priority="1" operator="lessThan">
      <formula>1</formula>
    </cfRule>
    <cfRule type="cellIs" dxfId="113" priority="2" operator="greaterThanOr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A5A44-1D83-49A4-8BEB-2C48C2703C70}">
  <sheetPr codeName="Hoja4">
    <tabColor rgb="FF5E1DD3"/>
  </sheetPr>
  <dimension ref="A1:S26"/>
  <sheetViews>
    <sheetView tabSelected="1" zoomScale="70" zoomScaleNormal="70" workbookViewId="0">
      <selection activeCell="B4" sqref="B4"/>
    </sheetView>
  </sheetViews>
  <sheetFormatPr baseColWidth="10" defaultColWidth="11.44140625" defaultRowHeight="14.4" x14ac:dyDescent="0.3"/>
  <cols>
    <col min="1" max="1" width="49.109375" bestFit="1" customWidth="1"/>
    <col min="2" max="2" width="11.5546875" customWidth="1"/>
    <col min="3" max="3" width="11.44140625" customWidth="1"/>
    <col min="5" max="5" width="11.44140625" customWidth="1"/>
    <col min="9" max="9" width="11.44140625" customWidth="1"/>
    <col min="12" max="12" width="16.109375" customWidth="1"/>
    <col min="13" max="13" width="46" customWidth="1"/>
  </cols>
  <sheetData>
    <row r="1" spans="1:14" ht="88.5" customHeight="1" thickBot="1" x14ac:dyDescent="0.35">
      <c r="A1" s="15" t="s">
        <v>15</v>
      </c>
      <c r="B1" s="16"/>
      <c r="C1" s="16"/>
      <c r="D1" s="16"/>
      <c r="E1" s="16"/>
      <c r="F1" s="103"/>
      <c r="G1" s="103"/>
      <c r="H1" s="103"/>
      <c r="I1" s="103"/>
      <c r="J1" s="103"/>
      <c r="K1" s="103"/>
      <c r="L1" s="103"/>
    </row>
    <row r="2" spans="1:14" ht="30" customHeight="1" thickBot="1" x14ac:dyDescent="0.35">
      <c r="A2" s="43">
        <f ca="1">TODAY()</f>
        <v>44886</v>
      </c>
      <c r="B2" s="42"/>
      <c r="C2" s="42"/>
      <c r="D2" s="42"/>
      <c r="E2" s="42"/>
      <c r="F2" s="104"/>
      <c r="G2" s="104"/>
      <c r="H2" s="104"/>
      <c r="I2" s="104"/>
      <c r="J2" s="104"/>
      <c r="K2" s="104"/>
      <c r="L2" s="104"/>
      <c r="M2" s="12"/>
    </row>
    <row r="3" spans="1:14" ht="77.25" customHeight="1" thickBot="1" x14ac:dyDescent="0.35">
      <c r="A3" s="34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12"/>
    </row>
    <row r="4" spans="1:14" ht="27" customHeight="1" thickBot="1" x14ac:dyDescent="0.35">
      <c r="A4" s="46">
        <v>0.3125</v>
      </c>
      <c r="B4" s="87">
        <v>29</v>
      </c>
      <c r="C4" s="77">
        <f>+SUM($B$4:B4)</f>
        <v>29</v>
      </c>
      <c r="D4" s="61">
        <v>29</v>
      </c>
      <c r="E4" s="37">
        <f>+SUM($D$4:D4)</f>
        <v>29</v>
      </c>
      <c r="F4" s="38">
        <f>+D4/B4</f>
        <v>1</v>
      </c>
      <c r="G4" s="38">
        <f>+E4/C4</f>
        <v>1</v>
      </c>
      <c r="H4" s="80">
        <v>5</v>
      </c>
      <c r="I4" s="80">
        <f>SUM($H$4:H4)</f>
        <v>5</v>
      </c>
      <c r="J4" s="38">
        <f>H4/B4</f>
        <v>0.17241379310344829</v>
      </c>
      <c r="K4" s="38">
        <f>I4/C4</f>
        <v>0.17241379310344829</v>
      </c>
      <c r="L4" s="37" t="s">
        <v>41</v>
      </c>
      <c r="M4" s="44"/>
    </row>
    <row r="5" spans="1:14" ht="27" customHeight="1" thickBot="1" x14ac:dyDescent="0.35">
      <c r="A5" s="46">
        <v>0.35416666666666669</v>
      </c>
      <c r="B5" s="87">
        <v>35</v>
      </c>
      <c r="C5" s="77">
        <f>+IF(D5="","",B5+C4)</f>
        <v>64</v>
      </c>
      <c r="D5" s="61">
        <v>28</v>
      </c>
      <c r="E5" s="37">
        <f>IF(D5="","",SUM($D$4:D5))</f>
        <v>57</v>
      </c>
      <c r="F5" s="38">
        <f t="shared" ref="F5:F13" si="0">+D5/B5</f>
        <v>0.8</v>
      </c>
      <c r="G5" s="38">
        <f>IF(E5="","",(E5/C5))</f>
        <v>0.890625</v>
      </c>
      <c r="H5" s="80" t="s">
        <v>43</v>
      </c>
      <c r="I5" s="80">
        <f>SUM($H$4:H5)</f>
        <v>5</v>
      </c>
      <c r="J5" s="38" t="e">
        <f t="shared" ref="J5:J14" si="1">H5/B5</f>
        <v>#VALUE!</v>
      </c>
      <c r="K5" s="38">
        <f>IF(H5="","",(I5/C5))</f>
        <v>7.8125E-2</v>
      </c>
      <c r="L5" s="34" t="s">
        <v>9</v>
      </c>
      <c r="M5" s="44"/>
      <c r="N5" s="17"/>
    </row>
    <row r="6" spans="1:14" ht="27" customHeight="1" thickBot="1" x14ac:dyDescent="0.35">
      <c r="A6" s="46">
        <v>0.39583333333333331</v>
      </c>
      <c r="B6" s="87">
        <v>35</v>
      </c>
      <c r="C6" s="77">
        <f t="shared" ref="C6:C13" si="2">+IF(D6="","",B6+C5)</f>
        <v>99</v>
      </c>
      <c r="D6" s="61">
        <v>28</v>
      </c>
      <c r="E6" s="37">
        <f>IF(D6="","",SUM($D$4:D6))</f>
        <v>85</v>
      </c>
      <c r="F6" s="38">
        <f t="shared" si="0"/>
        <v>0.8</v>
      </c>
      <c r="G6" s="38">
        <f t="shared" ref="G6:G13" si="3">IF(E6="","",(E6/C6))</f>
        <v>0.85858585858585856</v>
      </c>
      <c r="H6" s="80"/>
      <c r="I6" s="80">
        <f>SUM($H$4:H6)</f>
        <v>5</v>
      </c>
      <c r="J6" s="38">
        <f t="shared" si="1"/>
        <v>0</v>
      </c>
      <c r="K6" s="38" t="str">
        <f t="shared" ref="K6:K13" si="4">IF(H6="","",(I6/C6))</f>
        <v/>
      </c>
      <c r="L6" s="37">
        <v>46298006</v>
      </c>
      <c r="M6" s="44"/>
    </row>
    <row r="7" spans="1:14" ht="27" customHeight="1" thickBot="1" x14ac:dyDescent="0.35">
      <c r="A7" s="46">
        <v>0.4375</v>
      </c>
      <c r="B7" s="87">
        <v>35</v>
      </c>
      <c r="C7" s="77">
        <f t="shared" si="2"/>
        <v>134</v>
      </c>
      <c r="D7" s="61">
        <v>28</v>
      </c>
      <c r="E7" s="37">
        <f>IF(D7="","",SUM($D$4:D7))</f>
        <v>113</v>
      </c>
      <c r="F7" s="38">
        <f t="shared" si="0"/>
        <v>0.8</v>
      </c>
      <c r="G7" s="38">
        <f t="shared" si="3"/>
        <v>0.84328358208955223</v>
      </c>
      <c r="H7" s="80"/>
      <c r="I7" s="80">
        <f>SUM($H$4:H7)</f>
        <v>5</v>
      </c>
      <c r="J7" s="38">
        <f t="shared" si="1"/>
        <v>0</v>
      </c>
      <c r="K7" s="38" t="str">
        <f t="shared" si="4"/>
        <v/>
      </c>
      <c r="L7" s="35" t="s">
        <v>10</v>
      </c>
      <c r="M7" s="44"/>
    </row>
    <row r="8" spans="1:14" ht="27" customHeight="1" thickBot="1" x14ac:dyDescent="0.9">
      <c r="A8" s="46">
        <v>0.47916666666666669</v>
      </c>
      <c r="B8" s="87">
        <v>26</v>
      </c>
      <c r="C8" s="77">
        <f t="shared" si="2"/>
        <v>160</v>
      </c>
      <c r="D8" s="61">
        <v>21</v>
      </c>
      <c r="E8" s="37">
        <f>IF(D8="","",SUM($D$4:D8))</f>
        <v>134</v>
      </c>
      <c r="F8" s="38">
        <f t="shared" si="0"/>
        <v>0.80769230769230771</v>
      </c>
      <c r="G8" s="38">
        <f t="shared" si="3"/>
        <v>0.83750000000000002</v>
      </c>
      <c r="H8" s="80"/>
      <c r="I8" s="80">
        <f>SUM($H$4:H8)</f>
        <v>5</v>
      </c>
      <c r="J8" s="38">
        <f t="shared" si="1"/>
        <v>0</v>
      </c>
      <c r="K8" s="38" t="str">
        <f t="shared" si="4"/>
        <v/>
      </c>
      <c r="L8" s="62">
        <v>8</v>
      </c>
      <c r="M8" s="44"/>
    </row>
    <row r="9" spans="1:14" ht="27" customHeight="1" thickBot="1" x14ac:dyDescent="0.9">
      <c r="A9" s="46">
        <v>0.52083333333333337</v>
      </c>
      <c r="B9" s="87">
        <v>35</v>
      </c>
      <c r="C9" s="77">
        <f t="shared" si="2"/>
        <v>195</v>
      </c>
      <c r="D9" s="61">
        <v>28</v>
      </c>
      <c r="E9" s="37">
        <f>IF(D9="","",SUM($D$4:D9))</f>
        <v>162</v>
      </c>
      <c r="F9" s="38">
        <f t="shared" si="0"/>
        <v>0.8</v>
      </c>
      <c r="G9" s="38">
        <f t="shared" si="3"/>
        <v>0.83076923076923082</v>
      </c>
      <c r="H9" s="80"/>
      <c r="I9" s="80">
        <f>SUM($H$4:H9)</f>
        <v>5</v>
      </c>
      <c r="J9" s="38">
        <f t="shared" si="1"/>
        <v>0</v>
      </c>
      <c r="K9" s="38" t="str">
        <f t="shared" si="4"/>
        <v/>
      </c>
      <c r="L9" s="62">
        <v>13.65</v>
      </c>
      <c r="M9" s="138" t="s">
        <v>44</v>
      </c>
    </row>
    <row r="10" spans="1:14" ht="27" customHeight="1" thickBot="1" x14ac:dyDescent="0.35">
      <c r="A10" s="46">
        <v>6.25E-2</v>
      </c>
      <c r="B10" s="87">
        <v>35</v>
      </c>
      <c r="C10" s="77">
        <f t="shared" si="2"/>
        <v>230</v>
      </c>
      <c r="D10" s="61">
        <v>28</v>
      </c>
      <c r="E10" s="37">
        <f>IF(D10="","",SUM($D$4:D10))</f>
        <v>190</v>
      </c>
      <c r="F10" s="38">
        <f t="shared" si="0"/>
        <v>0.8</v>
      </c>
      <c r="G10" s="38">
        <f t="shared" si="3"/>
        <v>0.82608695652173914</v>
      </c>
      <c r="H10" s="80"/>
      <c r="I10" s="80">
        <f>SUM($H$4:H10)</f>
        <v>5</v>
      </c>
      <c r="J10" s="38">
        <f t="shared" si="1"/>
        <v>0</v>
      </c>
      <c r="K10" s="38" t="str">
        <f t="shared" si="4"/>
        <v/>
      </c>
      <c r="L10" s="34" t="s">
        <v>11</v>
      </c>
      <c r="M10" s="44"/>
    </row>
    <row r="11" spans="1:14" ht="27" customHeight="1" thickBot="1" x14ac:dyDescent="0.35">
      <c r="A11" s="46">
        <v>0.10416666666666667</v>
      </c>
      <c r="B11" s="87">
        <v>35</v>
      </c>
      <c r="C11" s="77">
        <f t="shared" si="2"/>
        <v>265</v>
      </c>
      <c r="D11" s="61">
        <v>28</v>
      </c>
      <c r="E11" s="37">
        <f>IF(D11="","",SUM($D$4:D11))</f>
        <v>218</v>
      </c>
      <c r="F11" s="38">
        <f t="shared" si="0"/>
        <v>0.8</v>
      </c>
      <c r="G11" s="38">
        <f t="shared" si="3"/>
        <v>0.8226415094339623</v>
      </c>
      <c r="H11" s="80"/>
      <c r="I11" s="80">
        <f>SUM($H$4:H11)</f>
        <v>5</v>
      </c>
      <c r="J11" s="38">
        <f t="shared" si="1"/>
        <v>0</v>
      </c>
      <c r="K11" s="38" t="str">
        <f t="shared" si="4"/>
        <v/>
      </c>
      <c r="L11" s="102"/>
      <c r="M11" s="44"/>
    </row>
    <row r="12" spans="1:14" ht="27" customHeight="1" thickBot="1" x14ac:dyDescent="0.35">
      <c r="A12" s="46">
        <v>0.14583333333333334</v>
      </c>
      <c r="B12" s="87">
        <v>35</v>
      </c>
      <c r="C12" s="77">
        <f t="shared" si="2"/>
        <v>300</v>
      </c>
      <c r="D12" s="61">
        <v>28</v>
      </c>
      <c r="E12" s="37">
        <f>IF(D12="","",SUM($D$4:D12))</f>
        <v>246</v>
      </c>
      <c r="F12" s="38">
        <f t="shared" si="0"/>
        <v>0.8</v>
      </c>
      <c r="G12" s="38">
        <f t="shared" si="3"/>
        <v>0.82</v>
      </c>
      <c r="H12" s="80"/>
      <c r="I12" s="80">
        <f>SUM($H$4:H12)</f>
        <v>5</v>
      </c>
      <c r="J12" s="38">
        <f t="shared" si="1"/>
        <v>0</v>
      </c>
      <c r="K12" s="38" t="str">
        <f t="shared" si="4"/>
        <v/>
      </c>
      <c r="L12" s="102"/>
      <c r="M12" s="44"/>
    </row>
    <row r="13" spans="1:14" ht="27" customHeight="1" thickBot="1" x14ac:dyDescent="0.35">
      <c r="A13" s="46">
        <v>0.1875</v>
      </c>
      <c r="B13" s="87">
        <v>35</v>
      </c>
      <c r="C13" s="77">
        <f t="shared" si="2"/>
        <v>335</v>
      </c>
      <c r="D13" s="61">
        <v>28</v>
      </c>
      <c r="E13" s="37">
        <f>IF(D13="","",SUM($D$4:D13))</f>
        <v>274</v>
      </c>
      <c r="F13" s="38">
        <f t="shared" si="0"/>
        <v>0.8</v>
      </c>
      <c r="G13" s="38">
        <f t="shared" si="3"/>
        <v>0.81791044776119404</v>
      </c>
      <c r="H13" s="80"/>
      <c r="I13" s="80">
        <f>SUM($H$4:H13)</f>
        <v>5</v>
      </c>
      <c r="J13" s="38">
        <f t="shared" si="1"/>
        <v>0</v>
      </c>
      <c r="K13" s="38" t="str">
        <f t="shared" si="4"/>
        <v/>
      </c>
      <c r="L13" s="102"/>
      <c r="M13" s="44"/>
    </row>
    <row r="14" spans="1:14" ht="17.399999999999999" x14ac:dyDescent="0.3">
      <c r="B14" s="90">
        <f>SUM(B4:B13)</f>
        <v>335</v>
      </c>
      <c r="C14" s="88">
        <f>+MAX(C4:C13)</f>
        <v>335</v>
      </c>
      <c r="D14">
        <f>+SUM(D4:D13)</f>
        <v>274</v>
      </c>
      <c r="J14" s="95">
        <f t="shared" si="1"/>
        <v>0</v>
      </c>
    </row>
    <row r="26" spans="19:19" x14ac:dyDescent="0.3">
      <c r="S26">
        <f>+(60*L8)/19.2</f>
        <v>25</v>
      </c>
    </row>
  </sheetData>
  <mergeCells count="2">
    <mergeCell ref="F1:L2"/>
    <mergeCell ref="L11:L13"/>
  </mergeCells>
  <phoneticPr fontId="25" type="noConversion"/>
  <conditionalFormatting sqref="F4:K13 J14">
    <cfRule type="cellIs" dxfId="127" priority="6" operator="greaterThan">
      <formula>0.81</formula>
    </cfRule>
    <cfRule type="cellIs" dxfId="126" priority="7" operator="between">
      <formula>0.61</formula>
      <formula>0.8</formula>
    </cfRule>
    <cfRule type="cellIs" dxfId="125" priority="8" operator="lessThan">
      <formula>0.6</formula>
    </cfRule>
  </conditionalFormatting>
  <conditionalFormatting sqref="H4:I13">
    <cfRule type="cellIs" dxfId="124" priority="1" operator="lessThan">
      <formula>1</formula>
    </cfRule>
    <cfRule type="cellIs" dxfId="123" priority="2" operator="greaterThanOrEqual">
      <formula>1</formula>
    </cfRule>
    <cfRule type="cellIs" dxfId="122" priority="3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4EFB4-B343-4156-846F-10F860FBF2E1}">
  <sheetPr codeName="Hoja6">
    <tabColor rgb="FF00B050"/>
  </sheetPr>
  <dimension ref="A1:S26"/>
  <sheetViews>
    <sheetView zoomScale="70" zoomScaleNormal="70" workbookViewId="0">
      <selection activeCell="L9" sqref="L9"/>
    </sheetView>
  </sheetViews>
  <sheetFormatPr baseColWidth="10" defaultColWidth="11.44140625" defaultRowHeight="14.4" x14ac:dyDescent="0.3"/>
  <cols>
    <col min="1" max="1" width="49.109375" bestFit="1" customWidth="1"/>
    <col min="2" max="2" width="11.5546875" customWidth="1"/>
    <col min="3" max="5" width="11.44140625" customWidth="1"/>
    <col min="9" max="9" width="11.44140625" customWidth="1"/>
    <col min="11" max="11" width="12.5546875" bestFit="1" customWidth="1"/>
    <col min="12" max="12" width="16.109375" customWidth="1"/>
  </cols>
  <sheetData>
    <row r="1" spans="1:18" ht="88.5" customHeight="1" thickBot="1" x14ac:dyDescent="0.35">
      <c r="A1" s="15" t="s">
        <v>19</v>
      </c>
      <c r="B1" s="16"/>
      <c r="C1" s="16"/>
      <c r="D1" s="16"/>
      <c r="E1" s="16"/>
      <c r="F1" s="103"/>
      <c r="G1" s="103"/>
      <c r="H1" s="103"/>
      <c r="I1" s="103"/>
      <c r="J1" s="103"/>
      <c r="K1" s="103"/>
      <c r="L1" s="103"/>
    </row>
    <row r="2" spans="1:18" ht="31.5" customHeight="1" thickBot="1" x14ac:dyDescent="0.35">
      <c r="A2" s="65">
        <f ca="1">TODAY()</f>
        <v>44886</v>
      </c>
      <c r="B2" s="42"/>
      <c r="C2" s="42"/>
      <c r="D2" s="42"/>
      <c r="E2" s="42"/>
      <c r="F2" s="104"/>
      <c r="G2" s="104"/>
      <c r="H2" s="104"/>
      <c r="I2" s="104"/>
      <c r="J2" s="104"/>
      <c r="K2" s="104"/>
      <c r="L2" s="104"/>
      <c r="M2" s="12"/>
    </row>
    <row r="3" spans="1:18" ht="64.5" customHeight="1" thickBot="1" x14ac:dyDescent="0.35">
      <c r="A3" s="35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12"/>
    </row>
    <row r="4" spans="1:18" ht="27" customHeight="1" thickBot="1" x14ac:dyDescent="0.35">
      <c r="A4" s="46">
        <v>0.3125</v>
      </c>
      <c r="B4" s="87">
        <f>+(50*$L$8)/$L$9</f>
        <v>32.762332678086679</v>
      </c>
      <c r="C4" s="77">
        <f>+SUM($B$4:B4)</f>
        <v>32.762332678086679</v>
      </c>
      <c r="D4" s="61"/>
      <c r="E4" s="37">
        <f>+SUM($D$4:D4)</f>
        <v>0</v>
      </c>
      <c r="F4" s="38">
        <f>+D4/B4</f>
        <v>0</v>
      </c>
      <c r="G4" s="38">
        <f>+E4/C4</f>
        <v>0</v>
      </c>
      <c r="H4" s="80"/>
      <c r="I4" s="80">
        <f>+SUM($H$4:H4)</f>
        <v>0</v>
      </c>
      <c r="J4" s="38">
        <f>+H4/B4</f>
        <v>0</v>
      </c>
      <c r="K4" s="38">
        <f>+I4/C4</f>
        <v>0</v>
      </c>
      <c r="L4" s="37">
        <v>29254</v>
      </c>
      <c r="M4" s="44"/>
    </row>
    <row r="5" spans="1:18" ht="27" customHeight="1" thickBot="1" x14ac:dyDescent="0.35">
      <c r="A5" s="46">
        <v>0.35416666666666669</v>
      </c>
      <c r="B5" s="87">
        <f>+(60*$L$8)/$L$9</f>
        <v>39.314799213704013</v>
      </c>
      <c r="C5" s="77" t="str">
        <f>IF(D5="","",B5+C4)</f>
        <v/>
      </c>
      <c r="D5" s="61"/>
      <c r="E5" s="37" t="str">
        <f>IF(D5="","",SUM($D$4:D5))</f>
        <v/>
      </c>
      <c r="F5" s="38">
        <f t="shared" ref="F5:F13" si="0">+D5/B5</f>
        <v>0</v>
      </c>
      <c r="G5" s="38" t="str">
        <f>IF(E5="","",(E5/C5))</f>
        <v/>
      </c>
      <c r="H5" s="80"/>
      <c r="I5" s="80">
        <f>+SUM($H$4:H5)</f>
        <v>0</v>
      </c>
      <c r="J5" s="38">
        <f t="shared" ref="J5:J13" si="1">+H5/B5</f>
        <v>0</v>
      </c>
      <c r="K5" s="38" t="str">
        <f>IF(H5="","",(I5/C5))</f>
        <v/>
      </c>
      <c r="L5" s="34" t="s">
        <v>9</v>
      </c>
      <c r="M5" s="44"/>
    </row>
    <row r="6" spans="1:18" ht="27" customHeight="1" thickBot="1" x14ac:dyDescent="0.35">
      <c r="A6" s="46">
        <v>0.39583333333333331</v>
      </c>
      <c r="B6" s="87">
        <f t="shared" ref="B6:B13" si="2">+(60*$L$8)/$L$9</f>
        <v>39.314799213704013</v>
      </c>
      <c r="C6" s="77" t="str">
        <f t="shared" ref="C6:C13" si="3">IF(D6="","",B6+C5)</f>
        <v/>
      </c>
      <c r="D6" s="61"/>
      <c r="E6" s="37" t="str">
        <f>IF(D6="","",SUM($D$4:D6))</f>
        <v/>
      </c>
      <c r="F6" s="38">
        <f t="shared" si="0"/>
        <v>0</v>
      </c>
      <c r="G6" s="38" t="str">
        <f t="shared" ref="G6:G13" si="4">IF(E6="","",(E6/C6))</f>
        <v/>
      </c>
      <c r="H6" s="80"/>
      <c r="I6" s="80">
        <f>+SUM($H$4:H6)</f>
        <v>0</v>
      </c>
      <c r="J6" s="38">
        <f t="shared" si="1"/>
        <v>0</v>
      </c>
      <c r="K6" s="38" t="str">
        <f t="shared" ref="K6:K13" si="5">IF(H6="","",(I6/C6))</f>
        <v/>
      </c>
      <c r="L6" s="37"/>
      <c r="M6" s="44"/>
    </row>
    <row r="7" spans="1:18" ht="36.75" customHeight="1" thickBot="1" x14ac:dyDescent="0.35">
      <c r="A7" s="46">
        <v>0.4375</v>
      </c>
      <c r="B7" s="87">
        <f t="shared" si="2"/>
        <v>39.314799213704013</v>
      </c>
      <c r="C7" s="77" t="str">
        <f t="shared" si="3"/>
        <v/>
      </c>
      <c r="D7" s="61"/>
      <c r="E7" s="37" t="str">
        <f>IF(D7="","",SUM($D$4:D7))</f>
        <v/>
      </c>
      <c r="F7" s="38">
        <f t="shared" si="0"/>
        <v>0</v>
      </c>
      <c r="G7" s="38" t="str">
        <f t="shared" si="4"/>
        <v/>
      </c>
      <c r="H7" s="80"/>
      <c r="I7" s="80">
        <f>+SUM($H$4:H7)</f>
        <v>0</v>
      </c>
      <c r="J7" s="38">
        <f t="shared" si="1"/>
        <v>0</v>
      </c>
      <c r="K7" s="38" t="str">
        <f t="shared" si="5"/>
        <v/>
      </c>
      <c r="L7" s="34" t="s">
        <v>10</v>
      </c>
      <c r="M7" s="44"/>
    </row>
    <row r="8" spans="1:18" ht="27" customHeight="1" thickBot="1" x14ac:dyDescent="0.35">
      <c r="A8" s="46">
        <v>0.47916666666666669</v>
      </c>
      <c r="B8" s="87">
        <f t="shared" si="2"/>
        <v>39.314799213704013</v>
      </c>
      <c r="C8" s="77" t="str">
        <f t="shared" si="3"/>
        <v/>
      </c>
      <c r="D8" s="61"/>
      <c r="E8" s="37" t="str">
        <f>IF(D8="","",SUM($D$4:D8))</f>
        <v/>
      </c>
      <c r="F8" s="38">
        <f t="shared" si="0"/>
        <v>0</v>
      </c>
      <c r="G8" s="38" t="str">
        <f t="shared" si="4"/>
        <v/>
      </c>
      <c r="H8" s="80"/>
      <c r="I8" s="80">
        <f>+SUM($H$4:H8)</f>
        <v>0</v>
      </c>
      <c r="J8" s="38">
        <f t="shared" si="1"/>
        <v>0</v>
      </c>
      <c r="K8" s="38" t="str">
        <f t="shared" si="5"/>
        <v/>
      </c>
      <c r="L8" s="62">
        <v>7</v>
      </c>
      <c r="M8" s="44"/>
      <c r="N8" t="s">
        <v>37</v>
      </c>
      <c r="R8" s="78"/>
    </row>
    <row r="9" spans="1:18" ht="27" customHeight="1" thickBot="1" x14ac:dyDescent="0.35">
      <c r="A9" s="46">
        <v>0.52083333333333337</v>
      </c>
      <c r="B9" s="87">
        <f>+(40*$L$8)/$L$9</f>
        <v>26.209866142469345</v>
      </c>
      <c r="C9" s="77" t="str">
        <f t="shared" si="3"/>
        <v/>
      </c>
      <c r="D9" s="61"/>
      <c r="E9" s="37" t="str">
        <f>IF(D9="","",SUM($D$4:D9))</f>
        <v/>
      </c>
      <c r="F9" s="38">
        <f t="shared" si="0"/>
        <v>0</v>
      </c>
      <c r="G9" s="38" t="str">
        <f t="shared" si="4"/>
        <v/>
      </c>
      <c r="H9" s="80"/>
      <c r="I9" s="80">
        <f>+SUM($H$4:H9)</f>
        <v>0</v>
      </c>
      <c r="J9" s="38">
        <f t="shared" si="1"/>
        <v>0</v>
      </c>
      <c r="K9" s="38" t="str">
        <f t="shared" si="5"/>
        <v/>
      </c>
      <c r="L9" s="62">
        <v>10.683</v>
      </c>
      <c r="M9" s="44"/>
    </row>
    <row r="10" spans="1:18" ht="27" customHeight="1" thickBot="1" x14ac:dyDescent="0.35">
      <c r="A10" s="46">
        <v>6.25E-2</v>
      </c>
      <c r="B10" s="87">
        <f t="shared" si="2"/>
        <v>39.314799213704013</v>
      </c>
      <c r="C10" s="77" t="str">
        <f t="shared" si="3"/>
        <v/>
      </c>
      <c r="D10" s="61"/>
      <c r="E10" s="37" t="str">
        <f>IF(D10="","",SUM($D$4:D10))</f>
        <v/>
      </c>
      <c r="F10" s="38">
        <f t="shared" si="0"/>
        <v>0</v>
      </c>
      <c r="G10" s="38" t="str">
        <f t="shared" si="4"/>
        <v/>
      </c>
      <c r="H10" s="80"/>
      <c r="I10" s="80">
        <f>+SUM($H$4:H10)</f>
        <v>0</v>
      </c>
      <c r="J10" s="38">
        <f t="shared" si="1"/>
        <v>0</v>
      </c>
      <c r="K10" s="38" t="str">
        <f t="shared" si="5"/>
        <v/>
      </c>
      <c r="L10" s="34"/>
      <c r="M10" s="44"/>
      <c r="O10">
        <v>15.911</v>
      </c>
    </row>
    <row r="11" spans="1:18" ht="27" customHeight="1" thickBot="1" x14ac:dyDescent="0.35">
      <c r="A11" s="46">
        <v>0.10416666666666667</v>
      </c>
      <c r="B11" s="87">
        <f t="shared" si="2"/>
        <v>39.314799213704013</v>
      </c>
      <c r="C11" s="77" t="str">
        <f t="shared" si="3"/>
        <v/>
      </c>
      <c r="D11" s="61"/>
      <c r="E11" s="37" t="str">
        <f>IF(D11="","",SUM($D$4:D11))</f>
        <v/>
      </c>
      <c r="F11" s="38">
        <f t="shared" si="0"/>
        <v>0</v>
      </c>
      <c r="G11" s="38" t="str">
        <f t="shared" si="4"/>
        <v/>
      </c>
      <c r="H11" s="80"/>
      <c r="I11" s="80">
        <f>+SUM($H$4:H11)</f>
        <v>0</v>
      </c>
      <c r="J11" s="38">
        <f t="shared" si="1"/>
        <v>0</v>
      </c>
      <c r="K11" s="38" t="str">
        <f t="shared" si="5"/>
        <v/>
      </c>
      <c r="L11" s="102"/>
      <c r="M11" s="44"/>
    </row>
    <row r="12" spans="1:18" ht="27" customHeight="1" thickBot="1" x14ac:dyDescent="0.35">
      <c r="A12" s="46">
        <v>0.14583333333333334</v>
      </c>
      <c r="B12" s="87">
        <f t="shared" si="2"/>
        <v>39.314799213704013</v>
      </c>
      <c r="C12" s="77" t="str">
        <f t="shared" si="3"/>
        <v/>
      </c>
      <c r="D12" s="61"/>
      <c r="E12" s="37" t="str">
        <f>IF(D12="","",SUM($D$4:D12))</f>
        <v/>
      </c>
      <c r="F12" s="38">
        <f t="shared" si="0"/>
        <v>0</v>
      </c>
      <c r="G12" s="38" t="str">
        <f t="shared" si="4"/>
        <v/>
      </c>
      <c r="H12" s="80"/>
      <c r="I12" s="80">
        <f>+SUM($H$4:H12)</f>
        <v>0</v>
      </c>
      <c r="J12" s="38">
        <f t="shared" si="1"/>
        <v>0</v>
      </c>
      <c r="K12" s="38" t="str">
        <f t="shared" si="5"/>
        <v/>
      </c>
      <c r="L12" s="102"/>
      <c r="M12" s="44"/>
    </row>
    <row r="13" spans="1:18" ht="27" customHeight="1" thickBot="1" x14ac:dyDescent="0.35">
      <c r="A13" s="46">
        <v>0.1875</v>
      </c>
      <c r="B13" s="87">
        <f t="shared" si="2"/>
        <v>39.314799213704013</v>
      </c>
      <c r="C13" s="77" t="str">
        <f t="shared" si="3"/>
        <v/>
      </c>
      <c r="D13" s="61"/>
      <c r="E13" s="37" t="str">
        <f>IF(D13="","",SUM($D$4:D13))</f>
        <v/>
      </c>
      <c r="F13" s="38">
        <f t="shared" si="0"/>
        <v>0</v>
      </c>
      <c r="G13" s="38" t="str">
        <f t="shared" si="4"/>
        <v/>
      </c>
      <c r="H13" s="80"/>
      <c r="I13" s="80">
        <f>+SUM($H$4:H13)</f>
        <v>0</v>
      </c>
      <c r="J13" s="38">
        <f t="shared" si="1"/>
        <v>0</v>
      </c>
      <c r="K13" s="38" t="str">
        <f t="shared" si="5"/>
        <v/>
      </c>
      <c r="L13" s="102"/>
      <c r="M13" s="44"/>
    </row>
    <row r="14" spans="1:18" ht="17.399999999999999" x14ac:dyDescent="0.3">
      <c r="B14" s="90">
        <f>SUM(B4:B13)</f>
        <v>373.49059253018817</v>
      </c>
      <c r="C14" s="88">
        <f>+MAX(C4:C13)</f>
        <v>32.762332678086679</v>
      </c>
      <c r="D14">
        <f>+SUM(D4:D13)</f>
        <v>0</v>
      </c>
    </row>
    <row r="15" spans="1:18" x14ac:dyDescent="0.3">
      <c r="C15" s="90"/>
    </row>
    <row r="26" spans="19:19" x14ac:dyDescent="0.3">
      <c r="S26" t="s">
        <v>34</v>
      </c>
    </row>
  </sheetData>
  <mergeCells count="2">
    <mergeCell ref="F1:L2"/>
    <mergeCell ref="L11:L13"/>
  </mergeCells>
  <conditionalFormatting sqref="F4:K13">
    <cfRule type="cellIs" dxfId="112" priority="5" operator="greaterThan">
      <formula>0.81</formula>
    </cfRule>
    <cfRule type="cellIs" dxfId="111" priority="6" operator="between">
      <formula>0.61</formula>
      <formula>0.8</formula>
    </cfRule>
    <cfRule type="cellIs" dxfId="110" priority="7" operator="lessThan">
      <formula>0.6</formula>
    </cfRule>
  </conditionalFormatting>
  <conditionalFormatting sqref="K4:K13">
    <cfRule type="cellIs" dxfId="109" priority="3" operator="equal">
      <formula>"SI"</formula>
    </cfRule>
    <cfRule type="cellIs" dxfId="108" priority="4" operator="equal">
      <formula>"NO"</formula>
    </cfRule>
  </conditionalFormatting>
  <conditionalFormatting sqref="H4:I13">
    <cfRule type="cellIs" dxfId="107" priority="1" operator="lessThan">
      <formula>1</formula>
    </cfRule>
    <cfRule type="cellIs" dxfId="106" priority="2" operator="greaterThanOr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6815-8F37-486F-A4D5-91F8E575CB5D}">
  <sheetPr codeName="Hoja7">
    <tabColor rgb="FF00B0F0"/>
  </sheetPr>
  <dimension ref="A1:I13"/>
  <sheetViews>
    <sheetView workbookViewId="0">
      <selection activeCell="C4" sqref="C4"/>
    </sheetView>
  </sheetViews>
  <sheetFormatPr baseColWidth="10" defaultColWidth="11.44140625" defaultRowHeight="14.4" x14ac:dyDescent="0.3"/>
  <cols>
    <col min="1" max="1" width="49.109375" bestFit="1" customWidth="1"/>
    <col min="8" max="8" width="16.109375" customWidth="1"/>
  </cols>
  <sheetData>
    <row r="1" spans="1:9" ht="88.5" customHeight="1" thickBot="1" x14ac:dyDescent="0.35">
      <c r="A1" s="15" t="s">
        <v>20</v>
      </c>
      <c r="B1" s="16"/>
      <c r="C1" s="16"/>
      <c r="D1" s="16"/>
      <c r="E1" s="16"/>
      <c r="F1" s="103"/>
      <c r="G1" s="103"/>
      <c r="H1" s="103"/>
    </row>
    <row r="2" spans="1:9" s="20" customFormat="1" ht="28.5" customHeight="1" thickBot="1" x14ac:dyDescent="0.75">
      <c r="A2" s="23">
        <f ca="1">TODAY()</f>
        <v>44886</v>
      </c>
      <c r="B2" s="18"/>
      <c r="C2" s="18"/>
      <c r="D2" s="18"/>
      <c r="E2" s="18"/>
      <c r="F2" s="103"/>
      <c r="G2" s="103"/>
      <c r="H2" s="103"/>
      <c r="I2" s="19"/>
    </row>
    <row r="3" spans="1:9" ht="52.8" thickBot="1" x14ac:dyDescent="0.35">
      <c r="A3" s="2" t="s">
        <v>1</v>
      </c>
      <c r="B3" s="3" t="s">
        <v>2</v>
      </c>
      <c r="C3" s="3" t="s">
        <v>16</v>
      </c>
      <c r="D3" s="3" t="s">
        <v>17</v>
      </c>
      <c r="E3" s="3" t="s">
        <v>5</v>
      </c>
      <c r="F3" s="13" t="s">
        <v>6</v>
      </c>
      <c r="G3" s="13" t="s">
        <v>7</v>
      </c>
      <c r="H3" s="13" t="s">
        <v>8</v>
      </c>
      <c r="I3" s="1"/>
    </row>
    <row r="4" spans="1:9" ht="18" thickBot="1" x14ac:dyDescent="0.35">
      <c r="A4" s="4">
        <v>0.3125</v>
      </c>
      <c r="B4" s="5">
        <v>44</v>
      </c>
      <c r="C4" s="6">
        <f>+SUM($B$4:B4)</f>
        <v>44</v>
      </c>
      <c r="D4" s="5">
        <v>50</v>
      </c>
      <c r="E4" s="6">
        <f>+SUM($D$4:D4)</f>
        <v>50</v>
      </c>
      <c r="F4" s="7">
        <f>+D4/B4</f>
        <v>1.1363636363636365</v>
      </c>
      <c r="G4" s="7">
        <f>+E4/C4</f>
        <v>1.1363636363636365</v>
      </c>
      <c r="H4" s="8">
        <v>44537</v>
      </c>
      <c r="I4" s="9"/>
    </row>
    <row r="5" spans="1:9" ht="18" thickBot="1" x14ac:dyDescent="0.35">
      <c r="A5" s="4">
        <v>0.35416666666666669</v>
      </c>
      <c r="B5" s="5">
        <v>44</v>
      </c>
      <c r="C5" s="6">
        <f>+B5+C4</f>
        <v>88</v>
      </c>
      <c r="D5" s="5">
        <v>40</v>
      </c>
      <c r="E5" s="6">
        <f>+SUM($D$4:D5)</f>
        <v>90</v>
      </c>
      <c r="F5" s="7">
        <f t="shared" ref="F5:G13" si="0">+D5/B5</f>
        <v>0.90909090909090906</v>
      </c>
      <c r="G5" s="7">
        <f t="shared" si="0"/>
        <v>1.0227272727272727</v>
      </c>
      <c r="H5" s="10" t="s">
        <v>9</v>
      </c>
      <c r="I5" s="9"/>
    </row>
    <row r="6" spans="1:9" ht="18" thickBot="1" x14ac:dyDescent="0.35">
      <c r="A6" s="4">
        <v>0.39583333333333331</v>
      </c>
      <c r="B6" s="5">
        <v>53</v>
      </c>
      <c r="C6" s="6">
        <f t="shared" ref="C6:C13" si="1">+B6+C5</f>
        <v>141</v>
      </c>
      <c r="D6" s="5">
        <v>43</v>
      </c>
      <c r="E6" s="6">
        <f>+SUM($D$4:D6)</f>
        <v>133</v>
      </c>
      <c r="F6" s="7">
        <f t="shared" si="0"/>
        <v>0.81132075471698117</v>
      </c>
      <c r="G6" s="7">
        <f t="shared" si="0"/>
        <v>0.94326241134751776</v>
      </c>
      <c r="H6" s="11">
        <v>46057003</v>
      </c>
      <c r="I6" s="9"/>
    </row>
    <row r="7" spans="1:9" ht="35.4" thickBot="1" x14ac:dyDescent="0.35">
      <c r="A7" s="4">
        <v>0.4375</v>
      </c>
      <c r="B7" s="5">
        <v>53</v>
      </c>
      <c r="C7" s="6">
        <f t="shared" si="1"/>
        <v>194</v>
      </c>
      <c r="D7" s="5">
        <v>80</v>
      </c>
      <c r="E7" s="6">
        <f>+SUM($D$4:D7)</f>
        <v>213</v>
      </c>
      <c r="F7" s="7">
        <f t="shared" si="0"/>
        <v>1.5094339622641511</v>
      </c>
      <c r="G7" s="7">
        <f t="shared" si="0"/>
        <v>1.097938144329897</v>
      </c>
      <c r="H7" s="5" t="s">
        <v>10</v>
      </c>
      <c r="I7" s="9"/>
    </row>
    <row r="8" spans="1:9" ht="18" thickBot="1" x14ac:dyDescent="0.35">
      <c r="A8" s="4">
        <v>0.47916666666666669</v>
      </c>
      <c r="B8" s="5">
        <v>53</v>
      </c>
      <c r="C8" s="6">
        <f t="shared" si="1"/>
        <v>247</v>
      </c>
      <c r="D8" s="5">
        <v>67</v>
      </c>
      <c r="E8" s="6">
        <f>+SUM($D$4:D8)</f>
        <v>280</v>
      </c>
      <c r="F8" s="7">
        <f t="shared" si="0"/>
        <v>1.2641509433962264</v>
      </c>
      <c r="G8" s="7">
        <f t="shared" si="0"/>
        <v>1.1336032388663968</v>
      </c>
      <c r="H8" s="109">
        <v>6</v>
      </c>
      <c r="I8" s="9"/>
    </row>
    <row r="9" spans="1:9" ht="18" thickBot="1" x14ac:dyDescent="0.35">
      <c r="A9" s="4">
        <v>0.52083333333333337</v>
      </c>
      <c r="B9" s="5">
        <v>53</v>
      </c>
      <c r="C9" s="6">
        <f t="shared" si="1"/>
        <v>300</v>
      </c>
      <c r="D9" s="5">
        <v>78</v>
      </c>
      <c r="E9" s="6">
        <f>+SUM($D$4:D9)</f>
        <v>358</v>
      </c>
      <c r="F9" s="7">
        <f t="shared" si="0"/>
        <v>1.4716981132075471</v>
      </c>
      <c r="G9" s="7">
        <f t="shared" si="0"/>
        <v>1.1933333333333334</v>
      </c>
      <c r="H9" s="110"/>
      <c r="I9" s="9"/>
    </row>
    <row r="10" spans="1:9" ht="18" thickBot="1" x14ac:dyDescent="0.35">
      <c r="A10" s="4">
        <v>6.25E-2</v>
      </c>
      <c r="B10" s="5">
        <v>40</v>
      </c>
      <c r="C10" s="6">
        <f t="shared" si="1"/>
        <v>340</v>
      </c>
      <c r="D10" s="5">
        <v>60</v>
      </c>
      <c r="E10" s="6">
        <f>+SUM($D$4:D10)</f>
        <v>418</v>
      </c>
      <c r="F10" s="7">
        <f t="shared" si="0"/>
        <v>1.5</v>
      </c>
      <c r="G10" s="7">
        <f t="shared" si="0"/>
        <v>1.2294117647058824</v>
      </c>
      <c r="H10" s="5" t="s">
        <v>11</v>
      </c>
      <c r="I10" s="9"/>
    </row>
    <row r="11" spans="1:9" ht="18" thickBot="1" x14ac:dyDescent="0.35">
      <c r="A11" s="4">
        <v>0.10416666666666667</v>
      </c>
      <c r="B11" s="5">
        <v>53</v>
      </c>
      <c r="C11" s="6">
        <f t="shared" si="1"/>
        <v>393</v>
      </c>
      <c r="D11" s="5">
        <v>89</v>
      </c>
      <c r="E11" s="6">
        <f>+SUM($D$4:D11)</f>
        <v>507</v>
      </c>
      <c r="F11" s="7">
        <f t="shared" si="0"/>
        <v>1.679245283018868</v>
      </c>
      <c r="G11" s="7">
        <f t="shared" si="0"/>
        <v>1.2900763358778626</v>
      </c>
      <c r="H11" s="109" t="s">
        <v>12</v>
      </c>
      <c r="I11" s="9"/>
    </row>
    <row r="12" spans="1:9" ht="18" thickBot="1" x14ac:dyDescent="0.35">
      <c r="A12" s="4">
        <v>0.14583333333333334</v>
      </c>
      <c r="B12" s="5">
        <v>53</v>
      </c>
      <c r="C12" s="6">
        <f t="shared" si="1"/>
        <v>446</v>
      </c>
      <c r="D12" s="5">
        <v>56</v>
      </c>
      <c r="E12" s="6">
        <f>+SUM($D$4:D12)</f>
        <v>563</v>
      </c>
      <c r="F12" s="7">
        <f t="shared" si="0"/>
        <v>1.0566037735849056</v>
      </c>
      <c r="G12" s="7">
        <f t="shared" si="0"/>
        <v>1.2623318385650224</v>
      </c>
      <c r="H12" s="111"/>
      <c r="I12" s="9"/>
    </row>
    <row r="13" spans="1:9" ht="18" thickBot="1" x14ac:dyDescent="0.35">
      <c r="A13" s="4">
        <v>0.1875</v>
      </c>
      <c r="B13" s="5">
        <v>53</v>
      </c>
      <c r="C13" s="6">
        <f t="shared" si="1"/>
        <v>499</v>
      </c>
      <c r="D13" s="5">
        <v>2</v>
      </c>
      <c r="E13" s="6">
        <f>+SUM($D$4:D13)</f>
        <v>565</v>
      </c>
      <c r="F13" s="7">
        <f t="shared" si="0"/>
        <v>3.7735849056603772E-2</v>
      </c>
      <c r="G13" s="7">
        <f t="shared" si="0"/>
        <v>1.1322645290581161</v>
      </c>
      <c r="H13" s="110"/>
      <c r="I13" s="9"/>
    </row>
  </sheetData>
  <mergeCells count="3">
    <mergeCell ref="F1:H2"/>
    <mergeCell ref="H8:H9"/>
    <mergeCell ref="H11:H13"/>
  </mergeCells>
  <conditionalFormatting sqref="F4:G13">
    <cfRule type="cellIs" dxfId="105" priority="1" operator="greaterThan">
      <formula>0.81</formula>
    </cfRule>
    <cfRule type="cellIs" dxfId="104" priority="2" operator="between">
      <formula>0.61</formula>
      <formula>0.8</formula>
    </cfRule>
    <cfRule type="cellIs" dxfId="103" priority="3" operator="lessThan">
      <formula>0.6</formula>
    </cfRule>
  </conditionalFormatting>
  <pageMargins left="0.7" right="0.7" top="0.75" bottom="0.75" header="0.3" footer="0.3"/>
  <pageSetup orientation="portrait" r:id="rId1"/>
  <ignoredErrors>
    <ignoredError sqref="E5:E11" formulaRange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5BF31-A891-411C-8D38-C570B19DB137}">
  <sheetPr codeName="Hoja8">
    <tabColor rgb="FFFF0000"/>
  </sheetPr>
  <dimension ref="A1:U26"/>
  <sheetViews>
    <sheetView zoomScale="70" zoomScaleNormal="70" workbookViewId="0">
      <selection activeCell="Q10" sqref="Q10"/>
    </sheetView>
  </sheetViews>
  <sheetFormatPr baseColWidth="10" defaultColWidth="11.44140625" defaultRowHeight="14.4" x14ac:dyDescent="0.3"/>
  <cols>
    <col min="1" max="1" width="49.109375" bestFit="1" customWidth="1"/>
    <col min="12" max="12" width="16.109375" customWidth="1"/>
    <col min="13" max="13" width="14.109375" customWidth="1"/>
  </cols>
  <sheetData>
    <row r="1" spans="1:21" ht="93.75" customHeight="1" thickBot="1" x14ac:dyDescent="0.35">
      <c r="A1" s="84" t="s">
        <v>21</v>
      </c>
      <c r="B1" s="82"/>
      <c r="C1" s="82"/>
      <c r="D1" s="82"/>
      <c r="E1" s="83"/>
      <c r="F1" s="103"/>
      <c r="G1" s="103"/>
      <c r="H1" s="103"/>
      <c r="I1" s="103"/>
      <c r="J1" s="103"/>
      <c r="K1" s="103"/>
      <c r="L1" s="103"/>
    </row>
    <row r="2" spans="1:21" ht="33" customHeight="1" thickBot="1" x14ac:dyDescent="0.35">
      <c r="A2" s="65">
        <f ca="1">TODAY()</f>
        <v>44886</v>
      </c>
      <c r="B2" s="42"/>
      <c r="C2" s="42"/>
      <c r="D2" s="42"/>
      <c r="E2" s="42"/>
      <c r="F2" s="104"/>
      <c r="G2" s="104"/>
      <c r="H2" s="104"/>
      <c r="I2" s="104"/>
      <c r="J2" s="104"/>
      <c r="K2" s="104"/>
      <c r="L2" s="104"/>
      <c r="M2" s="12"/>
    </row>
    <row r="3" spans="1:21" ht="65.25" customHeight="1" thickBot="1" x14ac:dyDescent="0.35">
      <c r="A3" s="35" t="s">
        <v>1</v>
      </c>
      <c r="B3" s="35" t="s">
        <v>2</v>
      </c>
      <c r="C3" s="35" t="s">
        <v>3</v>
      </c>
      <c r="D3" s="35" t="s">
        <v>4</v>
      </c>
      <c r="E3" s="35" t="s">
        <v>5</v>
      </c>
      <c r="F3" s="35" t="s">
        <v>6</v>
      </c>
      <c r="G3" s="35" t="s">
        <v>7</v>
      </c>
      <c r="H3" s="35" t="s">
        <v>28</v>
      </c>
      <c r="I3" s="35" t="s">
        <v>30</v>
      </c>
      <c r="J3" s="35" t="s">
        <v>29</v>
      </c>
      <c r="K3" s="35" t="s">
        <v>31</v>
      </c>
      <c r="L3" s="35" t="s">
        <v>8</v>
      </c>
      <c r="M3" s="85"/>
    </row>
    <row r="4" spans="1:21" ht="27" customHeight="1" thickBot="1" x14ac:dyDescent="0.35">
      <c r="A4" s="36">
        <v>0.3125</v>
      </c>
      <c r="B4" s="96">
        <f>+(50*$L$8)/$L$9</f>
        <v>18.508725542041248</v>
      </c>
      <c r="C4" s="97">
        <f>+SUM($B$4:B4)</f>
        <v>18.508725542041248</v>
      </c>
      <c r="D4" s="63">
        <v>20</v>
      </c>
      <c r="E4" s="62">
        <f>+SUM($D$4:D4)</f>
        <v>20</v>
      </c>
      <c r="F4" s="64">
        <f>+D4/B4</f>
        <v>1.0805714285714285</v>
      </c>
      <c r="G4" s="64">
        <f>+E4/C4</f>
        <v>1.0805714285714285</v>
      </c>
      <c r="H4" s="80"/>
      <c r="I4" s="80">
        <f>+SUM($H$4:H4)</f>
        <v>0</v>
      </c>
      <c r="J4" s="38">
        <f>+H4/B4</f>
        <v>0</v>
      </c>
      <c r="K4" s="38">
        <f>+I4/C4</f>
        <v>0</v>
      </c>
      <c r="L4" s="37">
        <v>27676</v>
      </c>
      <c r="M4" s="44"/>
    </row>
    <row r="5" spans="1:21" ht="27" customHeight="1" thickBot="1" x14ac:dyDescent="0.35">
      <c r="A5" s="36">
        <v>0.35416666666666669</v>
      </c>
      <c r="B5" s="96">
        <f>+(60*$L$8)/$L$9</f>
        <v>22.210470650449498</v>
      </c>
      <c r="C5" s="97">
        <f>IF(D5="","",B5+C4)</f>
        <v>40.719196192490742</v>
      </c>
      <c r="D5" s="63">
        <v>20</v>
      </c>
      <c r="E5" s="62">
        <f>IF(D5="","",SUM($D$4:D5))</f>
        <v>40</v>
      </c>
      <c r="F5" s="64">
        <f t="shared" ref="F5:F13" si="0">+D5/B5</f>
        <v>0.90047619047619043</v>
      </c>
      <c r="G5" s="64">
        <f>IF(E5="","",(E5/C5))</f>
        <v>0.9823376623376624</v>
      </c>
      <c r="H5" s="80"/>
      <c r="I5" s="80">
        <f>+SUM($H$4:H5)</f>
        <v>0</v>
      </c>
      <c r="J5" s="38">
        <f t="shared" ref="J5:J14" si="1">+H5/B5</f>
        <v>0</v>
      </c>
      <c r="K5" s="38" t="str">
        <f>IF(H5="","",(I5/C5))</f>
        <v/>
      </c>
      <c r="L5" s="34" t="s">
        <v>9</v>
      </c>
      <c r="M5" s="44"/>
    </row>
    <row r="6" spans="1:21" ht="27" customHeight="1" thickBot="1" x14ac:dyDescent="0.35">
      <c r="A6" s="36">
        <v>0.39583333333333331</v>
      </c>
      <c r="B6" s="96">
        <f t="shared" ref="B6:B13" si="2">+(60*$L$8)/$L$9</f>
        <v>22.210470650449498</v>
      </c>
      <c r="C6" s="97">
        <f t="shared" ref="C6:C13" si="3">IF(D6="","",B6+C5)</f>
        <v>62.929666842940236</v>
      </c>
      <c r="D6" s="63">
        <v>20</v>
      </c>
      <c r="E6" s="62">
        <f>IF(D6="","",SUM($D$4:D6))</f>
        <v>60</v>
      </c>
      <c r="F6" s="64">
        <f t="shared" si="0"/>
        <v>0.90047619047619043</v>
      </c>
      <c r="G6" s="64">
        <f t="shared" ref="G6:G13" si="4">IF(E6="","",(E6/C6))</f>
        <v>0.95344537815126063</v>
      </c>
      <c r="H6" s="80"/>
      <c r="I6" s="80">
        <f>+SUM($H$4:H6)</f>
        <v>0</v>
      </c>
      <c r="J6" s="38">
        <f t="shared" si="1"/>
        <v>0</v>
      </c>
      <c r="K6" s="38" t="str">
        <f t="shared" ref="K6:K13" si="5">IF(H6="","",(I6/C6))</f>
        <v/>
      </c>
      <c r="L6" s="37"/>
      <c r="M6" s="44"/>
    </row>
    <row r="7" spans="1:21" ht="35.4" thickBot="1" x14ac:dyDescent="0.35">
      <c r="A7" s="36">
        <v>0.4375</v>
      </c>
      <c r="B7" s="96">
        <f t="shared" si="2"/>
        <v>22.210470650449498</v>
      </c>
      <c r="C7" s="97">
        <f t="shared" si="3"/>
        <v>85.14013749338973</v>
      </c>
      <c r="D7" s="63">
        <v>20</v>
      </c>
      <c r="E7" s="62">
        <f>IF(D7="","",SUM($D$4:D7))</f>
        <v>80</v>
      </c>
      <c r="F7" s="64">
        <f t="shared" si="0"/>
        <v>0.90047619047619043</v>
      </c>
      <c r="G7" s="64">
        <f t="shared" si="4"/>
        <v>0.93962732919254666</v>
      </c>
      <c r="H7" s="80"/>
      <c r="I7" s="80">
        <f>+SUM($H$4:H7)</f>
        <v>0</v>
      </c>
      <c r="J7" s="38">
        <f t="shared" si="1"/>
        <v>0</v>
      </c>
      <c r="K7" s="38" t="str">
        <f t="shared" si="5"/>
        <v/>
      </c>
      <c r="L7" s="39" t="s">
        <v>10</v>
      </c>
      <c r="M7" s="44"/>
    </row>
    <row r="8" spans="1:21" ht="27" customHeight="1" thickBot="1" x14ac:dyDescent="0.35">
      <c r="A8" s="36">
        <v>0.47916666666666669</v>
      </c>
      <c r="B8" s="96">
        <f t="shared" si="2"/>
        <v>22.210470650449498</v>
      </c>
      <c r="C8" s="97">
        <f t="shared" si="3"/>
        <v>107.35060814383922</v>
      </c>
      <c r="D8" s="63">
        <v>20</v>
      </c>
      <c r="E8" s="62">
        <f>IF(D8="","",SUM($D$4:D8))</f>
        <v>100</v>
      </c>
      <c r="F8" s="64">
        <f t="shared" si="0"/>
        <v>0.90047619047619043</v>
      </c>
      <c r="G8" s="64">
        <f t="shared" si="4"/>
        <v>0.93152709359605923</v>
      </c>
      <c r="H8" s="80"/>
      <c r="I8" s="80">
        <f>+SUM($H$4:H8)</f>
        <v>0</v>
      </c>
      <c r="J8" s="38">
        <f t="shared" si="1"/>
        <v>0</v>
      </c>
      <c r="K8" s="38" t="str">
        <f t="shared" si="5"/>
        <v/>
      </c>
      <c r="L8" s="62">
        <v>7</v>
      </c>
      <c r="M8" s="44"/>
    </row>
    <row r="9" spans="1:21" ht="27" customHeight="1" thickBot="1" x14ac:dyDescent="0.35">
      <c r="A9" s="36">
        <v>0.52083333333333337</v>
      </c>
      <c r="B9" s="96">
        <f>+(40*$L$8)/$L$9</f>
        <v>14.806980433632999</v>
      </c>
      <c r="C9" s="97">
        <f t="shared" si="3"/>
        <v>122.15758857747223</v>
      </c>
      <c r="D9" s="63">
        <v>14</v>
      </c>
      <c r="E9" s="62">
        <f>IF(D9="","",SUM($D$4:D9))</f>
        <v>114</v>
      </c>
      <c r="F9" s="64">
        <f t="shared" si="0"/>
        <v>0.94550000000000001</v>
      </c>
      <c r="G9" s="64">
        <f t="shared" si="4"/>
        <v>0.93322077922077928</v>
      </c>
      <c r="H9" s="80"/>
      <c r="I9" s="80">
        <f>+SUM($H$4:H9)</f>
        <v>0</v>
      </c>
      <c r="J9" s="38">
        <f t="shared" si="1"/>
        <v>0</v>
      </c>
      <c r="K9" s="38" t="str">
        <f t="shared" si="5"/>
        <v/>
      </c>
      <c r="L9" s="62">
        <v>18.91</v>
      </c>
      <c r="M9" s="44"/>
    </row>
    <row r="10" spans="1:21" ht="27" customHeight="1" thickBot="1" x14ac:dyDescent="0.35">
      <c r="A10" s="36">
        <v>6.25E-2</v>
      </c>
      <c r="B10" s="96">
        <f t="shared" si="2"/>
        <v>22.210470650449498</v>
      </c>
      <c r="C10" s="97">
        <f t="shared" si="3"/>
        <v>144.36805922792172</v>
      </c>
      <c r="D10" s="63">
        <v>20</v>
      </c>
      <c r="E10" s="62">
        <f>IF(D10="","",SUM($D$4:D10))</f>
        <v>134</v>
      </c>
      <c r="F10" s="64">
        <f t="shared" si="0"/>
        <v>0.90047619047619043</v>
      </c>
      <c r="G10" s="64">
        <f t="shared" si="4"/>
        <v>0.92818315018315023</v>
      </c>
      <c r="H10" s="80"/>
      <c r="I10" s="80">
        <f>+SUM($H$4:H10)</f>
        <v>0</v>
      </c>
      <c r="J10" s="38">
        <f t="shared" si="1"/>
        <v>0</v>
      </c>
      <c r="K10" s="38" t="str">
        <f t="shared" si="5"/>
        <v/>
      </c>
      <c r="L10" s="39" t="s">
        <v>11</v>
      </c>
      <c r="M10" s="44"/>
    </row>
    <row r="11" spans="1:21" ht="27" customHeight="1" thickBot="1" x14ac:dyDescent="0.35">
      <c r="A11" s="36">
        <v>0.10416666666666667</v>
      </c>
      <c r="B11" s="96">
        <f t="shared" si="2"/>
        <v>22.210470650449498</v>
      </c>
      <c r="C11" s="97">
        <f t="shared" si="3"/>
        <v>166.57852987837123</v>
      </c>
      <c r="D11" s="63">
        <v>20</v>
      </c>
      <c r="E11" s="62">
        <f>IF(D11="","",SUM($D$4:D11))</f>
        <v>154</v>
      </c>
      <c r="F11" s="64">
        <f t="shared" si="0"/>
        <v>0.90047619047619043</v>
      </c>
      <c r="G11" s="64">
        <f t="shared" si="4"/>
        <v>0.92448888888888892</v>
      </c>
      <c r="H11" s="80"/>
      <c r="I11" s="80">
        <f>+SUM($H$4:H11)</f>
        <v>0</v>
      </c>
      <c r="J11" s="38">
        <f t="shared" si="1"/>
        <v>0</v>
      </c>
      <c r="K11" s="38" t="str">
        <f t="shared" si="5"/>
        <v/>
      </c>
      <c r="L11" s="102"/>
      <c r="M11" s="44"/>
      <c r="U11">
        <f>45*7</f>
        <v>315</v>
      </c>
    </row>
    <row r="12" spans="1:21" ht="27" customHeight="1" thickBot="1" x14ac:dyDescent="0.35">
      <c r="A12" s="36">
        <v>0.14583333333333334</v>
      </c>
      <c r="B12" s="96">
        <f t="shared" si="2"/>
        <v>22.210470650449498</v>
      </c>
      <c r="C12" s="97" t="str">
        <f t="shared" si="3"/>
        <v/>
      </c>
      <c r="D12" s="63"/>
      <c r="E12" s="62" t="str">
        <f>IF(D12="","",SUM($D$4:D12))</f>
        <v/>
      </c>
      <c r="F12" s="64">
        <f t="shared" si="0"/>
        <v>0</v>
      </c>
      <c r="G12" s="64" t="str">
        <f t="shared" si="4"/>
        <v/>
      </c>
      <c r="H12" s="80"/>
      <c r="I12" s="80">
        <f>+SUM($H$4:H12)</f>
        <v>0</v>
      </c>
      <c r="J12" s="38">
        <f t="shared" si="1"/>
        <v>0</v>
      </c>
      <c r="K12" s="38" t="str">
        <f t="shared" si="5"/>
        <v/>
      </c>
      <c r="L12" s="102"/>
      <c r="M12" s="44"/>
      <c r="U12">
        <f>+U11/18.91</f>
        <v>16.657852987837124</v>
      </c>
    </row>
    <row r="13" spans="1:21" ht="27" customHeight="1" thickBot="1" x14ac:dyDescent="0.35">
      <c r="A13" s="36">
        <v>0.1875</v>
      </c>
      <c r="B13" s="96">
        <f t="shared" si="2"/>
        <v>22.210470650449498</v>
      </c>
      <c r="C13" s="97" t="str">
        <f t="shared" si="3"/>
        <v/>
      </c>
      <c r="D13" s="63"/>
      <c r="E13" s="62" t="str">
        <f>IF(D13="","",SUM($D$4:D13))</f>
        <v/>
      </c>
      <c r="F13" s="64">
        <f t="shared" si="0"/>
        <v>0</v>
      </c>
      <c r="G13" s="64" t="str">
        <f t="shared" si="4"/>
        <v/>
      </c>
      <c r="H13" s="80"/>
      <c r="I13" s="80">
        <f>+SUM($H$4:H13)</f>
        <v>0</v>
      </c>
      <c r="J13" s="38">
        <f t="shared" si="1"/>
        <v>0</v>
      </c>
      <c r="K13" s="38" t="str">
        <f t="shared" si="5"/>
        <v/>
      </c>
      <c r="L13" s="102"/>
      <c r="M13" s="44"/>
    </row>
    <row r="14" spans="1:21" ht="17.399999999999999" x14ac:dyDescent="0.3">
      <c r="B14" s="90">
        <f>SUM(B4:B13)</f>
        <v>210.99947117927024</v>
      </c>
      <c r="C14" s="89">
        <f>+MAX(C4:C13)</f>
        <v>166.57852987837123</v>
      </c>
      <c r="D14">
        <f>+SUM(D4:D13)</f>
        <v>154</v>
      </c>
      <c r="J14" s="95">
        <f t="shared" si="1"/>
        <v>0</v>
      </c>
    </row>
    <row r="15" spans="1:21" x14ac:dyDescent="0.3">
      <c r="C15" s="90"/>
    </row>
    <row r="26" spans="19:19" x14ac:dyDescent="0.3">
      <c r="S26" t="s">
        <v>34</v>
      </c>
    </row>
  </sheetData>
  <mergeCells count="2">
    <mergeCell ref="F1:L2"/>
    <mergeCell ref="L11:L13"/>
  </mergeCells>
  <phoneticPr fontId="25" type="noConversion"/>
  <conditionalFormatting sqref="F4:G13">
    <cfRule type="cellIs" dxfId="102" priority="8" operator="greaterThan">
      <formula>0.81</formula>
    </cfRule>
    <cfRule type="cellIs" dxfId="101" priority="9" operator="between">
      <formula>0.61</formula>
      <formula>0.8</formula>
    </cfRule>
    <cfRule type="cellIs" dxfId="100" priority="10" operator="lessThan">
      <formula>0.6</formula>
    </cfRule>
  </conditionalFormatting>
  <conditionalFormatting sqref="H4:K13 J14">
    <cfRule type="cellIs" dxfId="99" priority="5" operator="greaterThan">
      <formula>0.81</formula>
    </cfRule>
    <cfRule type="cellIs" dxfId="98" priority="6" operator="between">
      <formula>0.61</formula>
      <formula>0.8</formula>
    </cfRule>
    <cfRule type="cellIs" dxfId="97" priority="7" operator="lessThan">
      <formula>0.6</formula>
    </cfRule>
  </conditionalFormatting>
  <conditionalFormatting sqref="K4:K13">
    <cfRule type="cellIs" dxfId="96" priority="3" operator="equal">
      <formula>"SI"</formula>
    </cfRule>
    <cfRule type="cellIs" dxfId="95" priority="4" operator="equal">
      <formula>"NO"</formula>
    </cfRule>
  </conditionalFormatting>
  <conditionalFormatting sqref="H4:I13">
    <cfRule type="cellIs" dxfId="94" priority="1" operator="lessThan">
      <formula>1</formula>
    </cfRule>
    <cfRule type="cellIs" dxfId="93" priority="2" operator="greaterThanOrEqual">
      <formula>1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67F8-BFA7-47C6-9FD9-93E2C71FB0F5}">
  <sheetPr codeName="Hoja9">
    <tabColor rgb="FF7030A0"/>
  </sheetPr>
  <dimension ref="A1:L74"/>
  <sheetViews>
    <sheetView topLeftCell="A2" zoomScaleNormal="100" workbookViewId="0">
      <selection activeCell="K3" sqref="K3:L3"/>
    </sheetView>
  </sheetViews>
  <sheetFormatPr baseColWidth="10" defaultColWidth="11.44140625" defaultRowHeight="14.4" x14ac:dyDescent="0.3"/>
  <cols>
    <col min="1" max="1" width="16.44140625" customWidth="1"/>
    <col min="2" max="3" width="9.88671875" customWidth="1"/>
    <col min="4" max="4" width="9.88671875" bestFit="1" customWidth="1"/>
    <col min="5" max="6" width="9.88671875" customWidth="1"/>
    <col min="7" max="7" width="12.5546875" bestFit="1" customWidth="1"/>
    <col min="8" max="8" width="9.88671875" customWidth="1"/>
    <col min="9" max="9" width="9.6640625" customWidth="1"/>
    <col min="10" max="10" width="10.33203125" bestFit="1" customWidth="1"/>
    <col min="11" max="11" width="9.88671875" customWidth="1"/>
    <col min="12" max="12" width="32.6640625" customWidth="1"/>
  </cols>
  <sheetData>
    <row r="1" spans="1:12" ht="86.25" customHeight="1" thickBot="1" x14ac:dyDescent="0.35">
      <c r="A1" s="128" t="s">
        <v>40</v>
      </c>
      <c r="B1" s="128"/>
      <c r="C1" s="128"/>
      <c r="D1" s="128"/>
      <c r="E1" s="132" t="s">
        <v>22</v>
      </c>
      <c r="F1" s="132"/>
      <c r="G1" s="132"/>
      <c r="H1" s="132"/>
      <c r="I1" s="132"/>
      <c r="J1" s="137" t="s">
        <v>33</v>
      </c>
      <c r="K1" s="137"/>
      <c r="L1" s="137"/>
    </row>
    <row r="2" spans="1:12" ht="130.5" customHeight="1" thickBot="1" x14ac:dyDescent="3.55">
      <c r="A2" s="129">
        <f>+SUM('Modulo 102'!B14,'Modulo 103'!B14,'Modulo 106'!B14,'Modulo 110'!B14,'Modulo 118'!B14,'Modulo 200'!B14)</f>
        <v>1549.8527352733527</v>
      </c>
      <c r="B2" s="130"/>
      <c r="C2" s="130"/>
      <c r="D2" s="131"/>
      <c r="E2" s="133">
        <f>+SUM(L5,L15,L25,L33,L43,L53,L69)</f>
        <v>627</v>
      </c>
      <c r="F2" s="130"/>
      <c r="G2" s="130"/>
      <c r="H2" s="130"/>
      <c r="I2" s="131"/>
      <c r="J2" s="134">
        <f>+E2/A2</f>
        <v>0.40455456555968455</v>
      </c>
      <c r="K2" s="135"/>
      <c r="L2" s="136"/>
    </row>
    <row r="3" spans="1:12" ht="75" customHeight="1" x14ac:dyDescent="0.3">
      <c r="A3" s="121" t="str">
        <f>'Modulo 102'!A1</f>
        <v>MÓDULO 102</v>
      </c>
      <c r="B3" s="121"/>
      <c r="C3" s="121"/>
      <c r="D3" s="121"/>
      <c r="E3" s="121"/>
      <c r="F3" s="122"/>
      <c r="G3" s="86" t="s">
        <v>8</v>
      </c>
      <c r="H3" s="123" t="str">
        <f>'Modulo 102'!L4</f>
        <v>Z1B000236</v>
      </c>
      <c r="I3" s="123"/>
      <c r="J3" s="86" t="s">
        <v>9</v>
      </c>
      <c r="K3" s="124">
        <f>'Modulo 102'!L6</f>
        <v>46306004</v>
      </c>
      <c r="L3" s="125"/>
    </row>
    <row r="4" spans="1:12" ht="50.1" customHeight="1" x14ac:dyDescent="0.3">
      <c r="A4" s="54" t="s">
        <v>1</v>
      </c>
      <c r="B4" s="47">
        <v>0.3125</v>
      </c>
      <c r="C4" s="47">
        <v>0.35416666666666669</v>
      </c>
      <c r="D4" s="47">
        <v>0.39583333333333331</v>
      </c>
      <c r="E4" s="47">
        <v>0.4375</v>
      </c>
      <c r="F4" s="47">
        <v>0.47916666666666669</v>
      </c>
      <c r="G4" s="52">
        <v>0.52083333333333337</v>
      </c>
      <c r="H4" s="52">
        <v>6.25E-2</v>
      </c>
      <c r="I4" s="52">
        <v>0.10416666666666667</v>
      </c>
      <c r="J4" s="52">
        <v>0.14583333333333334</v>
      </c>
      <c r="K4" s="52">
        <v>0.1875</v>
      </c>
      <c r="L4" s="60" t="s">
        <v>23</v>
      </c>
    </row>
    <row r="5" spans="1:12" ht="50.1" customHeight="1" x14ac:dyDescent="0.3">
      <c r="A5" s="54" t="s">
        <v>6</v>
      </c>
      <c r="B5" s="55">
        <f>'Modulo 102'!F4</f>
        <v>0.79599666666666669</v>
      </c>
      <c r="C5" s="55">
        <f>'Modulo 102'!F5</f>
        <v>0.81940833333333341</v>
      </c>
      <c r="D5" s="55">
        <f>'Modulo 102'!F6</f>
        <v>0.81940833333333341</v>
      </c>
      <c r="E5" s="55">
        <f>'Modulo 102'!F7</f>
        <v>0.81940833333333341</v>
      </c>
      <c r="F5" s="55">
        <f>'Modulo 102'!F8</f>
        <v>0.81940833333333329</v>
      </c>
      <c r="G5" s="55">
        <f>'Modulo 102'!F9</f>
        <v>0.81940833333333341</v>
      </c>
      <c r="H5" s="55">
        <f>'Modulo 102'!F10</f>
        <v>0.81940833333333341</v>
      </c>
      <c r="I5" s="55">
        <f>'Modulo 102'!F11</f>
        <v>0.81940833333333341</v>
      </c>
      <c r="J5" s="55">
        <f>'Modulo 102'!F12</f>
        <v>0.81940833333333341</v>
      </c>
      <c r="K5" s="56">
        <f>'Modulo 102'!F13</f>
        <v>0.81940833333333341</v>
      </c>
      <c r="L5" s="119">
        <f>+SUM(B6:K6)</f>
        <v>199</v>
      </c>
    </row>
    <row r="6" spans="1:12" ht="50.1" customHeight="1" x14ac:dyDescent="0.3">
      <c r="A6" s="54" t="s">
        <v>17</v>
      </c>
      <c r="B6" s="57">
        <f>'Modulo 102'!D4</f>
        <v>17</v>
      </c>
      <c r="C6" s="57">
        <f>'Modulo 102'!D5</f>
        <v>21</v>
      </c>
      <c r="D6" s="57">
        <f>'Modulo 102'!D6</f>
        <v>21</v>
      </c>
      <c r="E6" s="57">
        <f>'Modulo 102'!D7</f>
        <v>21</v>
      </c>
      <c r="F6" s="57">
        <f>'Modulo 102'!D8</f>
        <v>14</v>
      </c>
      <c r="G6" s="57">
        <f>'Modulo 102'!D9</f>
        <v>21</v>
      </c>
      <c r="H6" s="57">
        <f>'Modulo 102'!D10</f>
        <v>21</v>
      </c>
      <c r="I6" s="57">
        <f>'Modulo 102'!D11</f>
        <v>21</v>
      </c>
      <c r="J6" s="57">
        <f>'Modulo 102'!D12</f>
        <v>21</v>
      </c>
      <c r="K6" s="57">
        <f>'Modulo 102'!D13</f>
        <v>21</v>
      </c>
      <c r="L6" s="119"/>
    </row>
    <row r="7" spans="1:12" ht="50.1" customHeight="1" x14ac:dyDescent="0.3">
      <c r="A7" s="54" t="s">
        <v>7</v>
      </c>
      <c r="B7" s="55">
        <f>'Modulo 102'!G4</f>
        <v>0.79599666666666669</v>
      </c>
      <c r="C7" s="58">
        <f>'Modulo 102'!G5</f>
        <v>0.80876666666666674</v>
      </c>
      <c r="D7" s="58">
        <f>'Modulo 102'!G6</f>
        <v>0.81252254901960785</v>
      </c>
      <c r="E7" s="58">
        <f>'Modulo 102'!G7</f>
        <v>0.81431884057971016</v>
      </c>
      <c r="F7" s="55">
        <f>'Modulo 102'!G8</f>
        <v>0.81507283950617293</v>
      </c>
      <c r="G7" s="55">
        <f>'Modulo 102'!G9</f>
        <v>0.81586111111111115</v>
      </c>
      <c r="H7" s="55">
        <f>'Modulo 102'!G10</f>
        <v>0.81640683760683763</v>
      </c>
      <c r="I7" s="55">
        <f>'Modulo 102'!G11</f>
        <v>0.81680703703703705</v>
      </c>
      <c r="J7" s="55">
        <f>'Modulo 102'!G12</f>
        <v>0.81711307189542493</v>
      </c>
      <c r="K7" s="55">
        <f>'Modulo 102'!G13</f>
        <v>0.81735467836257314</v>
      </c>
      <c r="L7" s="120">
        <f>+'Modulo 102'!D14/'Modulo 102'!C14</f>
        <v>0.81735467836257314</v>
      </c>
    </row>
    <row r="8" spans="1:12" ht="50.1" customHeight="1" x14ac:dyDescent="0.3">
      <c r="A8" s="54" t="s">
        <v>5</v>
      </c>
      <c r="B8" s="57">
        <f>'Modulo 102'!E4</f>
        <v>17</v>
      </c>
      <c r="C8" s="57">
        <f>'Modulo 102'!E5</f>
        <v>38</v>
      </c>
      <c r="D8" s="57">
        <f>'Modulo 102'!E6</f>
        <v>59</v>
      </c>
      <c r="E8" s="57">
        <f>'Modulo 102'!E7</f>
        <v>80</v>
      </c>
      <c r="F8" s="57">
        <f>'Modulo 102'!E8</f>
        <v>94</v>
      </c>
      <c r="G8" s="57">
        <f>'Modulo 102'!E9</f>
        <v>115</v>
      </c>
      <c r="H8" s="57">
        <f>'Modulo 102'!E10</f>
        <v>136</v>
      </c>
      <c r="I8" s="57">
        <f>'Modulo 102'!E11</f>
        <v>157</v>
      </c>
      <c r="J8" s="57">
        <f>'Modulo 102'!E12</f>
        <v>178</v>
      </c>
      <c r="K8" s="57">
        <f>'Modulo 102'!E13</f>
        <v>199</v>
      </c>
      <c r="L8" s="120"/>
    </row>
    <row r="9" spans="1:12" ht="50.1" customHeight="1" x14ac:dyDescent="0.3">
      <c r="A9" s="72" t="s">
        <v>29</v>
      </c>
      <c r="B9" s="74">
        <f>'Modulo 102'!J4</f>
        <v>0</v>
      </c>
      <c r="C9" s="74">
        <f>'Modulo 102'!J5</f>
        <v>0</v>
      </c>
      <c r="D9" s="74">
        <f>'Modulo 102'!J6</f>
        <v>0</v>
      </c>
      <c r="E9" s="74">
        <f>'Modulo 102'!J7</f>
        <v>0</v>
      </c>
      <c r="F9" s="74">
        <f>'Modulo 102'!J8</f>
        <v>0</v>
      </c>
      <c r="G9" s="74">
        <f>'Modulo 102'!J9</f>
        <v>0</v>
      </c>
      <c r="H9" s="74">
        <f>'Modulo 102'!J10</f>
        <v>0</v>
      </c>
      <c r="I9" s="74">
        <f>'Modulo 102'!J11</f>
        <v>0</v>
      </c>
      <c r="J9" s="74">
        <f>'Modulo 102'!J12</f>
        <v>0</v>
      </c>
      <c r="K9" s="74">
        <f>'Modulo 102'!J13</f>
        <v>0</v>
      </c>
      <c r="L9" s="75">
        <f>+L10/'Modulo 102'!C14</f>
        <v>0</v>
      </c>
    </row>
    <row r="10" spans="1:12" ht="50.1" customHeight="1" x14ac:dyDescent="0.3">
      <c r="A10" s="72" t="s">
        <v>28</v>
      </c>
      <c r="B10" s="73">
        <f>'Modulo 102'!H4</f>
        <v>0</v>
      </c>
      <c r="C10" s="73">
        <f>'Modulo 102'!H5</f>
        <v>0</v>
      </c>
      <c r="D10" s="73">
        <f>'Modulo 102'!H6</f>
        <v>0</v>
      </c>
      <c r="E10" s="73">
        <f>'Modulo 102'!H7</f>
        <v>0</v>
      </c>
      <c r="F10" s="73">
        <f>'Modulo 102'!H8</f>
        <v>0</v>
      </c>
      <c r="G10" s="73">
        <f>'Modulo 102'!H9</f>
        <v>0</v>
      </c>
      <c r="H10" s="73">
        <f>'Modulo 102'!H10</f>
        <v>0</v>
      </c>
      <c r="I10" s="73">
        <f>'Modulo 102'!H11</f>
        <v>0</v>
      </c>
      <c r="J10" s="73">
        <f>'Modulo 102'!H12</f>
        <v>0</v>
      </c>
      <c r="K10" s="73">
        <f>'Modulo 102'!H13</f>
        <v>0</v>
      </c>
      <c r="L10" s="76">
        <f>+SUM(B10:K10)</f>
        <v>0</v>
      </c>
    </row>
    <row r="11" spans="1:12" x14ac:dyDescent="0.3">
      <c r="L11" s="14"/>
    </row>
    <row r="13" spans="1:12" ht="75" customHeight="1" x14ac:dyDescent="0.3">
      <c r="A13" s="126" t="str">
        <f>'Modulo 103'!A1</f>
        <v>MÓDULO 103</v>
      </c>
      <c r="B13" s="126"/>
      <c r="C13" s="126"/>
      <c r="D13" s="126"/>
      <c r="E13" s="126"/>
      <c r="F13" s="112"/>
      <c r="G13" s="53" t="s">
        <v>8</v>
      </c>
      <c r="H13" s="127" t="str">
        <f>'Modulo 103'!L4</f>
        <v>Z1TOOO281</v>
      </c>
      <c r="I13" s="127"/>
      <c r="J13" s="53" t="s">
        <v>9</v>
      </c>
      <c r="K13" s="117">
        <f>'Modulo 103'!L6</f>
        <v>46341005</v>
      </c>
      <c r="L13" s="118"/>
    </row>
    <row r="14" spans="1:12" ht="50.1" customHeight="1" x14ac:dyDescent="0.3">
      <c r="A14" s="54" t="s">
        <v>1</v>
      </c>
      <c r="B14" s="47">
        <v>0.3125</v>
      </c>
      <c r="C14" s="47">
        <v>0.35416666666666669</v>
      </c>
      <c r="D14" s="47">
        <v>0.39583333333333331</v>
      </c>
      <c r="E14" s="47">
        <v>0.4375</v>
      </c>
      <c r="F14" s="47">
        <v>0.47916666666666669</v>
      </c>
      <c r="G14" s="52">
        <v>0.52083333333333337</v>
      </c>
      <c r="H14" s="52">
        <v>6.25E-2</v>
      </c>
      <c r="I14" s="52">
        <v>0.10416666666666667</v>
      </c>
      <c r="J14" s="52">
        <v>0.14583333333333334</v>
      </c>
      <c r="K14" s="52">
        <v>0.1875</v>
      </c>
      <c r="L14" s="60" t="s">
        <v>23</v>
      </c>
    </row>
    <row r="15" spans="1:12" ht="50.1" customHeight="1" x14ac:dyDescent="0.3">
      <c r="A15" s="54" t="s">
        <v>6</v>
      </c>
      <c r="B15" s="55">
        <f>'Modulo 103'!F4</f>
        <v>0</v>
      </c>
      <c r="C15" s="55">
        <f>'Modulo 103'!F5</f>
        <v>0</v>
      </c>
      <c r="D15" s="55">
        <f>'Modulo 103'!F6</f>
        <v>0</v>
      </c>
      <c r="E15" s="55">
        <f>'Modulo 103'!F7</f>
        <v>0</v>
      </c>
      <c r="F15" s="55">
        <f>'Modulo 103'!F8</f>
        <v>0</v>
      </c>
      <c r="G15" s="55">
        <f>'Modulo 103'!F9</f>
        <v>0</v>
      </c>
      <c r="H15" s="55">
        <f>'Modulo 103'!F10</f>
        <v>0</v>
      </c>
      <c r="I15" s="55">
        <f>'Modulo 103'!F10</f>
        <v>0</v>
      </c>
      <c r="J15" s="55">
        <f>'Modulo 103'!F12</f>
        <v>0</v>
      </c>
      <c r="K15" s="56">
        <f>'Modulo 103'!F13</f>
        <v>0</v>
      </c>
      <c r="L15" s="119">
        <f>+SUM(B16:K16)</f>
        <v>0</v>
      </c>
    </row>
    <row r="16" spans="1:12" ht="50.1" customHeight="1" x14ac:dyDescent="0.3">
      <c r="A16" s="54" t="s">
        <v>17</v>
      </c>
      <c r="B16" s="57">
        <f>'Modulo 103'!D4</f>
        <v>0</v>
      </c>
      <c r="C16" s="57">
        <f>'Modulo 103'!D5</f>
        <v>0</v>
      </c>
      <c r="D16" s="57">
        <f>'Modulo 103'!D6</f>
        <v>0</v>
      </c>
      <c r="E16" s="57">
        <f>'Modulo 103'!D7</f>
        <v>0</v>
      </c>
      <c r="F16" s="57">
        <f>'Modulo 103'!D8</f>
        <v>0</v>
      </c>
      <c r="G16" s="57">
        <f>'Modulo 103'!D9</f>
        <v>0</v>
      </c>
      <c r="H16" s="57">
        <f>'Modulo 103'!D10</f>
        <v>0</v>
      </c>
      <c r="I16" s="57">
        <f>'Modulo 103'!D11</f>
        <v>0</v>
      </c>
      <c r="J16" s="57">
        <f>'Modulo 103'!D12</f>
        <v>0</v>
      </c>
      <c r="K16" s="57">
        <f>'Modulo 103'!D13</f>
        <v>0</v>
      </c>
      <c r="L16" s="119"/>
    </row>
    <row r="17" spans="1:12" ht="50.1" customHeight="1" x14ac:dyDescent="0.3">
      <c r="A17" s="54" t="s">
        <v>7</v>
      </c>
      <c r="B17" s="55">
        <f>'Modulo 103'!G4</f>
        <v>0</v>
      </c>
      <c r="C17" s="58" t="str">
        <f>'Modulo 103'!G5</f>
        <v/>
      </c>
      <c r="D17" s="58" t="str">
        <f>'Modulo 103'!G6</f>
        <v/>
      </c>
      <c r="E17" s="58" t="str">
        <f>'Modulo 103'!G7</f>
        <v/>
      </c>
      <c r="F17" s="55" t="str">
        <f>'Modulo 103'!G8</f>
        <v/>
      </c>
      <c r="G17" s="55" t="str">
        <f>'Modulo 103'!G9</f>
        <v/>
      </c>
      <c r="H17" s="55" t="str">
        <f>'Modulo 103'!G10</f>
        <v/>
      </c>
      <c r="I17" s="55" t="str">
        <f>'Modulo 103'!G11</f>
        <v/>
      </c>
      <c r="J17" s="55" t="str">
        <f>'Modulo 103'!G12</f>
        <v/>
      </c>
      <c r="K17" s="55" t="str">
        <f>'Modulo 103'!G13</f>
        <v/>
      </c>
      <c r="L17" s="120">
        <f>+'Modulo 103'!D14/'Modulo 103'!C14</f>
        <v>0</v>
      </c>
    </row>
    <row r="18" spans="1:12" ht="50.1" customHeight="1" x14ac:dyDescent="0.3">
      <c r="A18" s="54" t="s">
        <v>5</v>
      </c>
      <c r="B18" s="57">
        <f>'Modulo 103'!E4</f>
        <v>0</v>
      </c>
      <c r="C18" s="57" t="str">
        <f>'Modulo 103'!E5</f>
        <v/>
      </c>
      <c r="D18" s="57" t="str">
        <f>+'Modulo 103'!E6</f>
        <v/>
      </c>
      <c r="E18" s="57" t="str">
        <f>'Modulo 103'!E7</f>
        <v/>
      </c>
      <c r="F18" s="57" t="str">
        <f>'Modulo 103'!E8</f>
        <v/>
      </c>
      <c r="G18" s="57" t="str">
        <f>'Modulo 103'!E9</f>
        <v/>
      </c>
      <c r="H18" s="57">
        <f>'Modulo 102'!E10</f>
        <v>136</v>
      </c>
      <c r="I18" s="57" t="str">
        <f>'Modulo 103'!E11</f>
        <v/>
      </c>
      <c r="J18" s="57" t="str">
        <f>'Modulo 103'!E12</f>
        <v/>
      </c>
      <c r="K18" s="57" t="str">
        <f>'Modulo 103'!E13</f>
        <v/>
      </c>
      <c r="L18" s="120"/>
    </row>
    <row r="19" spans="1:12" ht="50.1" customHeight="1" x14ac:dyDescent="0.3">
      <c r="A19" s="72" t="s">
        <v>29</v>
      </c>
      <c r="B19" s="74">
        <f>'Modulo 103'!M14</f>
        <v>0</v>
      </c>
      <c r="C19" s="74">
        <f>'Modulo 103'!M15</f>
        <v>0</v>
      </c>
      <c r="D19" s="74">
        <f>'Modulo 103'!M16</f>
        <v>0</v>
      </c>
      <c r="E19" s="74">
        <f>'Modulo 103'!M17</f>
        <v>0</v>
      </c>
      <c r="F19" s="74">
        <f>'Modulo 103'!M18</f>
        <v>0</v>
      </c>
      <c r="G19" s="74">
        <f>'Modulo 103'!M19</f>
        <v>0</v>
      </c>
      <c r="H19" s="74">
        <f>'Modulo 103'!M20</f>
        <v>0</v>
      </c>
      <c r="I19" s="74">
        <f>'Modulo 103'!M21</f>
        <v>0</v>
      </c>
      <c r="J19" s="74">
        <f>'Modulo 103'!M22</f>
        <v>0</v>
      </c>
      <c r="K19" s="74">
        <f>'Modulo 103'!M23</f>
        <v>0</v>
      </c>
      <c r="L19" s="75">
        <f>+L20/'Modulo 103'!C14</f>
        <v>0</v>
      </c>
    </row>
    <row r="20" spans="1:12" ht="50.1" customHeight="1" x14ac:dyDescent="0.3">
      <c r="A20" s="72" t="s">
        <v>28</v>
      </c>
      <c r="B20" s="73">
        <f>'Modulo 103'!H4</f>
        <v>0</v>
      </c>
      <c r="C20" s="73">
        <f>'Modulo 103'!H5</f>
        <v>0</v>
      </c>
      <c r="D20" s="73">
        <f>'Modulo 103'!H6</f>
        <v>0</v>
      </c>
      <c r="E20" s="73">
        <f>'Modulo 103'!H7</f>
        <v>0</v>
      </c>
      <c r="F20" s="73">
        <f>'Modulo 103'!H8</f>
        <v>0</v>
      </c>
      <c r="G20" s="73">
        <f>'Modulo 103'!H9</f>
        <v>0</v>
      </c>
      <c r="H20" s="73">
        <f>'Modulo 103'!H10</f>
        <v>0</v>
      </c>
      <c r="I20" s="73">
        <f>'Modulo 103'!H11</f>
        <v>0</v>
      </c>
      <c r="J20" s="73">
        <f>'Modulo 103'!H12</f>
        <v>0</v>
      </c>
      <c r="K20" s="73">
        <f>'Modulo 103'!H13</f>
        <v>0</v>
      </c>
      <c r="L20" s="76">
        <f>+SUM(B20:K20)</f>
        <v>0</v>
      </c>
    </row>
    <row r="23" spans="1:12" ht="75" customHeight="1" x14ac:dyDescent="0.3">
      <c r="A23" s="126" t="str">
        <f>'Modulo 105'!A1</f>
        <v>MÓDULO 105</v>
      </c>
      <c r="B23" s="126"/>
      <c r="C23" s="126"/>
      <c r="D23" s="126"/>
      <c r="E23" s="126"/>
      <c r="F23" s="112"/>
      <c r="G23" s="53" t="s">
        <v>8</v>
      </c>
      <c r="H23" s="127">
        <f>'Modulo 105'!L4</f>
        <v>0</v>
      </c>
      <c r="I23" s="127"/>
      <c r="J23" s="53" t="s">
        <v>9</v>
      </c>
      <c r="K23" s="117">
        <f>'Modulo 105'!L6</f>
        <v>0</v>
      </c>
      <c r="L23" s="118"/>
    </row>
    <row r="24" spans="1:12" ht="49.5" customHeight="1" x14ac:dyDescent="0.3">
      <c r="A24" s="54" t="s">
        <v>1</v>
      </c>
      <c r="B24" s="47">
        <v>0.3125</v>
      </c>
      <c r="C24" s="47">
        <v>0.35416666666666669</v>
      </c>
      <c r="D24" s="47">
        <v>0.39583333333333331</v>
      </c>
      <c r="E24" s="47">
        <v>0.4375</v>
      </c>
      <c r="F24" s="47">
        <v>0.47916666666666669</v>
      </c>
      <c r="G24" s="47">
        <v>0.52083333333333337</v>
      </c>
      <c r="H24" s="47">
        <v>6.25E-2</v>
      </c>
      <c r="I24" s="47">
        <v>0.10416666666666667</v>
      </c>
      <c r="J24" s="47">
        <v>0.14583333333333334</v>
      </c>
      <c r="K24" s="47">
        <v>0.1875</v>
      </c>
      <c r="L24" s="59" t="s">
        <v>23</v>
      </c>
    </row>
    <row r="25" spans="1:12" ht="49.5" customHeight="1" x14ac:dyDescent="0.3">
      <c r="A25" s="54" t="s">
        <v>6</v>
      </c>
      <c r="B25" s="55">
        <f>'Modulo 105'!F4</f>
        <v>0</v>
      </c>
      <c r="C25" s="55">
        <f>'Modulo 105'!F5</f>
        <v>0</v>
      </c>
      <c r="D25" s="55">
        <f>'Modulo 105'!F6</f>
        <v>0</v>
      </c>
      <c r="E25" s="55">
        <f>'Modulo 105'!F7</f>
        <v>0</v>
      </c>
      <c r="F25" s="55">
        <f>'Modulo 105'!F8</f>
        <v>0</v>
      </c>
      <c r="G25" s="55">
        <f>'Modulo 105'!F9</f>
        <v>0</v>
      </c>
      <c r="H25" s="55">
        <f>'Modulo 105'!F10</f>
        <v>0</v>
      </c>
      <c r="I25" s="55">
        <f>'Modulo 105'!F11</f>
        <v>0</v>
      </c>
      <c r="J25" s="55">
        <f>'Modulo 105'!F12</f>
        <v>0</v>
      </c>
      <c r="K25" s="56">
        <f>'Modulo 105'!F13</f>
        <v>0</v>
      </c>
      <c r="L25" s="119">
        <f>+SUM(B26:K26)</f>
        <v>0</v>
      </c>
    </row>
    <row r="26" spans="1:12" ht="49.5" customHeight="1" x14ac:dyDescent="0.3">
      <c r="A26" s="54" t="s">
        <v>17</v>
      </c>
      <c r="B26" s="57">
        <f>'Modulo 105'!D4</f>
        <v>0</v>
      </c>
      <c r="C26" s="57">
        <f>'Modulo 105'!D5</f>
        <v>0</v>
      </c>
      <c r="D26" s="57">
        <f>'Modulo 105'!D6</f>
        <v>0</v>
      </c>
      <c r="E26" s="57">
        <f>'Modulo 105'!D7</f>
        <v>0</v>
      </c>
      <c r="F26" s="57">
        <f>'Modulo 105'!D8</f>
        <v>0</v>
      </c>
      <c r="G26" s="57">
        <f>'Modulo 105'!D9</f>
        <v>0</v>
      </c>
      <c r="H26" s="57">
        <f>'Modulo 105'!D10</f>
        <v>0</v>
      </c>
      <c r="I26" s="57">
        <f>'Modulo 105'!D11</f>
        <v>0</v>
      </c>
      <c r="J26" s="57">
        <f>'Modulo 105'!D12</f>
        <v>0</v>
      </c>
      <c r="K26" s="57">
        <f>'Modulo 105'!D13</f>
        <v>0</v>
      </c>
      <c r="L26" s="119"/>
    </row>
    <row r="27" spans="1:12" ht="49.5" customHeight="1" x14ac:dyDescent="0.3">
      <c r="A27" s="54" t="s">
        <v>7</v>
      </c>
      <c r="B27" s="55">
        <f>+'Modulo 105'!G4</f>
        <v>0</v>
      </c>
      <c r="C27" s="58" t="str">
        <f>'Modulo 105'!G5</f>
        <v/>
      </c>
      <c r="D27" s="58" t="str">
        <f>'Modulo 105'!G6</f>
        <v/>
      </c>
      <c r="E27" s="58" t="str">
        <f>'Modulo 105'!G7</f>
        <v/>
      </c>
      <c r="F27" s="55" t="str">
        <f>'Modulo 105'!G8</f>
        <v/>
      </c>
      <c r="G27" s="55" t="str">
        <f>'Modulo 105'!G9</f>
        <v/>
      </c>
      <c r="H27" s="55" t="str">
        <f>'Modulo 105'!G10</f>
        <v/>
      </c>
      <c r="I27" s="55" t="str">
        <f>'Modulo 105'!G11</f>
        <v/>
      </c>
      <c r="J27" s="55" t="str">
        <f>'Modulo 105'!G12</f>
        <v/>
      </c>
      <c r="K27" s="55" t="str">
        <f>'Modulo 105'!G13</f>
        <v/>
      </c>
      <c r="L27" s="120" t="e">
        <f>+L25/'Modulo 105'!C13</f>
        <v>#VALUE!</v>
      </c>
    </row>
    <row r="28" spans="1:12" ht="49.5" customHeight="1" x14ac:dyDescent="0.3">
      <c r="A28" s="54" t="s">
        <v>5</v>
      </c>
      <c r="B28" s="57">
        <f>'Modulo 105'!E4</f>
        <v>0</v>
      </c>
      <c r="C28" s="57" t="str">
        <f>'Modulo 105'!E5</f>
        <v/>
      </c>
      <c r="D28" s="57" t="str">
        <f>'Modulo 105'!E6</f>
        <v/>
      </c>
      <c r="E28" s="57" t="str">
        <f>'Modulo 105'!E7</f>
        <v/>
      </c>
      <c r="F28" s="57" t="str">
        <f>'Modulo 105'!E8</f>
        <v/>
      </c>
      <c r="G28" s="57" t="str">
        <f>'Modulo 105'!E9</f>
        <v/>
      </c>
      <c r="H28" s="57" t="str">
        <f>'Modulo 105'!E10</f>
        <v/>
      </c>
      <c r="I28" s="57" t="str">
        <f>'Modulo 105'!E11</f>
        <v/>
      </c>
      <c r="J28" s="57" t="str">
        <f>'Modulo 105'!E12</f>
        <v/>
      </c>
      <c r="K28" s="57" t="str">
        <f>'Modulo 105'!E13</f>
        <v/>
      </c>
      <c r="L28" s="120"/>
    </row>
    <row r="31" spans="1:12" ht="90" customHeight="1" x14ac:dyDescent="0.3">
      <c r="A31" s="126" t="str">
        <f>'Modulo 106'!A1</f>
        <v>MÓDULO 106</v>
      </c>
      <c r="B31" s="126"/>
      <c r="C31" s="126"/>
      <c r="D31" s="126"/>
      <c r="E31" s="126"/>
      <c r="F31" s="112"/>
      <c r="G31" s="53" t="s">
        <v>8</v>
      </c>
      <c r="H31" s="115" t="str">
        <f>'Modulo 106'!L4</f>
        <v>Z1T000330</v>
      </c>
      <c r="I31" s="115"/>
      <c r="J31" s="53" t="s">
        <v>9</v>
      </c>
      <c r="K31" s="117">
        <f>'Modulo 106'!L6</f>
        <v>46298006</v>
      </c>
      <c r="L31" s="118"/>
    </row>
    <row r="32" spans="1:12" ht="31.5" customHeight="1" x14ac:dyDescent="0.3">
      <c r="A32" s="54" t="s">
        <v>1</v>
      </c>
      <c r="B32" s="66">
        <v>0.3125</v>
      </c>
      <c r="C32" s="66">
        <v>0.35416666666666669</v>
      </c>
      <c r="D32" s="66">
        <v>0.39583333333333331</v>
      </c>
      <c r="E32" s="66">
        <v>0.4375</v>
      </c>
      <c r="F32" s="66">
        <v>0.47916666666666669</v>
      </c>
      <c r="G32" s="67">
        <v>0.52083333333333337</v>
      </c>
      <c r="H32" s="67">
        <v>6.25E-2</v>
      </c>
      <c r="I32" s="67">
        <v>0.10416666666666667</v>
      </c>
      <c r="J32" s="67">
        <v>0.14583333333333334</v>
      </c>
      <c r="K32" s="67">
        <v>0.1875</v>
      </c>
      <c r="L32" s="60" t="s">
        <v>23</v>
      </c>
    </row>
    <row r="33" spans="1:12" ht="33.6" x14ac:dyDescent="0.3">
      <c r="A33" s="54" t="s">
        <v>6</v>
      </c>
      <c r="B33" s="81">
        <f>'Modulo 106'!F4</f>
        <v>1</v>
      </c>
      <c r="C33" s="68">
        <f>'Modulo 106'!F5</f>
        <v>0.8</v>
      </c>
      <c r="D33" s="68">
        <f>'Modulo 106'!F6</f>
        <v>0.8</v>
      </c>
      <c r="E33" s="68">
        <f>'Modulo 106'!F7</f>
        <v>0.8</v>
      </c>
      <c r="F33" s="68">
        <f>'Modulo 106'!F8</f>
        <v>0.80769230769230771</v>
      </c>
      <c r="G33" s="68">
        <f>'Modulo 106'!F9</f>
        <v>0.8</v>
      </c>
      <c r="H33" s="68">
        <f>'Modulo 106'!F10</f>
        <v>0.8</v>
      </c>
      <c r="I33" s="68">
        <f>'Modulo 106'!F11</f>
        <v>0.8</v>
      </c>
      <c r="J33" s="68">
        <f>'Modulo 106'!F12</f>
        <v>0.8</v>
      </c>
      <c r="K33" s="69">
        <f>'Modulo 106'!F13</f>
        <v>0.8</v>
      </c>
      <c r="L33" s="119">
        <f>+SUM(B34:K34)</f>
        <v>274</v>
      </c>
    </row>
    <row r="34" spans="1:12" ht="42.75" customHeight="1" x14ac:dyDescent="0.3">
      <c r="A34" s="54" t="s">
        <v>17</v>
      </c>
      <c r="B34" s="70">
        <f>'Modulo 106'!D4</f>
        <v>29</v>
      </c>
      <c r="C34" s="70">
        <f>'Modulo 106'!D5</f>
        <v>28</v>
      </c>
      <c r="D34" s="70">
        <f>'Modulo 106'!D6</f>
        <v>28</v>
      </c>
      <c r="E34" s="70">
        <f>'Modulo 106'!D7</f>
        <v>28</v>
      </c>
      <c r="F34" s="70">
        <f>'Modulo 106'!D8</f>
        <v>21</v>
      </c>
      <c r="G34" s="70">
        <f>'Modulo 106'!D9</f>
        <v>28</v>
      </c>
      <c r="H34" s="70">
        <f>'Modulo 106'!D10</f>
        <v>28</v>
      </c>
      <c r="I34" s="70">
        <f>'Modulo 106'!D11</f>
        <v>28</v>
      </c>
      <c r="J34" s="70">
        <f>'Modulo 106'!D12</f>
        <v>28</v>
      </c>
      <c r="K34" s="70">
        <f>'Modulo 106'!D13</f>
        <v>28</v>
      </c>
      <c r="L34" s="119"/>
    </row>
    <row r="35" spans="1:12" ht="34.5" customHeight="1" x14ac:dyDescent="0.3">
      <c r="A35" s="54" t="s">
        <v>7</v>
      </c>
      <c r="B35" s="68">
        <f>'Modulo 106'!G4</f>
        <v>1</v>
      </c>
      <c r="C35" s="71">
        <f>'Modulo 106'!G5</f>
        <v>0.890625</v>
      </c>
      <c r="D35" s="71">
        <f>'Modulo 106'!G6</f>
        <v>0.85858585858585856</v>
      </c>
      <c r="E35" s="71">
        <f>'Modulo 106'!G7</f>
        <v>0.84328358208955223</v>
      </c>
      <c r="F35" s="68">
        <f>'Modulo 106'!G8</f>
        <v>0.83750000000000002</v>
      </c>
      <c r="G35" s="68">
        <f>'Modulo 106'!G9</f>
        <v>0.83076923076923082</v>
      </c>
      <c r="H35" s="68">
        <f>'Modulo 106'!G10</f>
        <v>0.82608695652173914</v>
      </c>
      <c r="I35" s="68">
        <f>'Modulo 106'!G11</f>
        <v>0.8226415094339623</v>
      </c>
      <c r="J35" s="68">
        <f>'Modulo 106'!G12</f>
        <v>0.82</v>
      </c>
      <c r="K35" s="68">
        <f>'Modulo 106'!G13</f>
        <v>0.81791044776119404</v>
      </c>
      <c r="L35" s="120">
        <f>+'Modulo 106'!D14/'Modulo 106'!C14</f>
        <v>0.81791044776119404</v>
      </c>
    </row>
    <row r="36" spans="1:12" ht="39.75" customHeight="1" x14ac:dyDescent="0.3">
      <c r="A36" s="54" t="s">
        <v>5</v>
      </c>
      <c r="B36" s="70">
        <f>'Modulo 106'!E4</f>
        <v>29</v>
      </c>
      <c r="C36" s="70">
        <f>'Modulo 106'!E5</f>
        <v>57</v>
      </c>
      <c r="D36" s="70">
        <f>'Modulo 106'!E6</f>
        <v>85</v>
      </c>
      <c r="E36" s="70">
        <f>'Modulo 106'!E7</f>
        <v>113</v>
      </c>
      <c r="F36" s="70">
        <f>'Modulo 106'!E8</f>
        <v>134</v>
      </c>
      <c r="G36" s="70">
        <f>'Modulo 106'!E9</f>
        <v>162</v>
      </c>
      <c r="H36" s="70">
        <f>'Modulo 106'!E10</f>
        <v>190</v>
      </c>
      <c r="I36" s="70">
        <f>'Modulo 106'!E11</f>
        <v>218</v>
      </c>
      <c r="J36" s="70">
        <f>'Modulo 106'!E12</f>
        <v>246</v>
      </c>
      <c r="K36" s="70">
        <f>'Modulo 106'!E13</f>
        <v>274</v>
      </c>
      <c r="L36" s="120"/>
    </row>
    <row r="37" spans="1:12" ht="42" customHeight="1" x14ac:dyDescent="0.3">
      <c r="A37" s="72" t="s">
        <v>29</v>
      </c>
      <c r="B37" s="74">
        <f>'Modulo 106'!J4</f>
        <v>0.17241379310344829</v>
      </c>
      <c r="C37" s="74" t="e">
        <f>'Modulo 106'!J5</f>
        <v>#VALUE!</v>
      </c>
      <c r="D37" s="74">
        <f>'Modulo 106'!J6</f>
        <v>0</v>
      </c>
      <c r="E37" s="74">
        <f>'Modulo 106'!J7</f>
        <v>0</v>
      </c>
      <c r="F37" s="74">
        <f>'Modulo 106'!J8</f>
        <v>0</v>
      </c>
      <c r="G37" s="74">
        <f>'Modulo 106'!J9</f>
        <v>0</v>
      </c>
      <c r="H37" s="74">
        <f>'Modulo 106'!J10</f>
        <v>0</v>
      </c>
      <c r="I37" s="74">
        <f>'Modulo 106'!J11</f>
        <v>0</v>
      </c>
      <c r="J37" s="74">
        <f>'Modulo 106'!J12</f>
        <v>0</v>
      </c>
      <c r="K37" s="74">
        <f>'Modulo 106'!J13</f>
        <v>0</v>
      </c>
      <c r="L37" s="75">
        <f>+L38/'Modulo 106'!C14</f>
        <v>1.4925373134328358E-2</v>
      </c>
    </row>
    <row r="38" spans="1:12" ht="43.5" customHeight="1" x14ac:dyDescent="0.3">
      <c r="A38" s="72" t="s">
        <v>28</v>
      </c>
      <c r="B38" s="73">
        <f>'Modulo 106'!H4</f>
        <v>5</v>
      </c>
      <c r="C38" s="73" t="str">
        <f>'Modulo 106'!H5</f>
        <v xml:space="preserve">  </v>
      </c>
      <c r="D38" s="73">
        <f>'Modulo 106'!H6</f>
        <v>0</v>
      </c>
      <c r="E38" s="73">
        <f>'Modulo 106'!H7</f>
        <v>0</v>
      </c>
      <c r="F38" s="73">
        <f>'Modulo 106'!H8</f>
        <v>0</v>
      </c>
      <c r="G38" s="73">
        <f>'Modulo 106'!H9</f>
        <v>0</v>
      </c>
      <c r="H38" s="73">
        <f>'Modulo 106'!H10</f>
        <v>0</v>
      </c>
      <c r="I38" s="73">
        <f>'Modulo 106'!H11</f>
        <v>0</v>
      </c>
      <c r="J38" s="73">
        <f>'Modulo 106'!H12</f>
        <v>0</v>
      </c>
      <c r="K38" s="73">
        <f>'Modulo 106'!H13</f>
        <v>0</v>
      </c>
      <c r="L38" s="76">
        <f>+SUM(B38:K38)</f>
        <v>5</v>
      </c>
    </row>
    <row r="41" spans="1:12" ht="90" customHeight="1" x14ac:dyDescent="0.3">
      <c r="A41" s="126" t="str">
        <f>'Modulo 110'!A1</f>
        <v>MÓDULO 110</v>
      </c>
      <c r="B41" s="126"/>
      <c r="C41" s="126"/>
      <c r="D41" s="126"/>
      <c r="E41" s="126"/>
      <c r="F41" s="112"/>
      <c r="G41" s="53" t="s">
        <v>8</v>
      </c>
      <c r="H41" s="115" t="str">
        <f>'Modulo 110'!L4</f>
        <v>L39L739TBE</v>
      </c>
      <c r="I41" s="115"/>
      <c r="J41" s="53" t="s">
        <v>9</v>
      </c>
      <c r="K41" s="117">
        <f>'Modulo 110'!L6</f>
        <v>46261002</v>
      </c>
      <c r="L41" s="118"/>
    </row>
    <row r="42" spans="1:12" ht="49.5" customHeight="1" x14ac:dyDescent="0.3">
      <c r="A42" s="54" t="s">
        <v>1</v>
      </c>
      <c r="B42" s="47">
        <v>0.3125</v>
      </c>
      <c r="C42" s="47">
        <v>0.35416666666666669</v>
      </c>
      <c r="D42" s="47">
        <v>0.39583333333333331</v>
      </c>
      <c r="E42" s="47">
        <v>0.4375</v>
      </c>
      <c r="F42" s="47">
        <v>0.47916666666666669</v>
      </c>
      <c r="G42" s="47">
        <v>0.52083333333333337</v>
      </c>
      <c r="H42" s="47">
        <v>6.25E-2</v>
      </c>
      <c r="I42" s="47">
        <v>0.10416666666666667</v>
      </c>
      <c r="J42" s="47">
        <v>0.14583333333333334</v>
      </c>
      <c r="K42" s="47">
        <v>0.1875</v>
      </c>
      <c r="L42" s="59" t="s">
        <v>23</v>
      </c>
    </row>
    <row r="43" spans="1:12" ht="49.5" customHeight="1" x14ac:dyDescent="0.3">
      <c r="A43" s="54" t="s">
        <v>6</v>
      </c>
      <c r="B43" s="48">
        <f>'Modulo 110'!F4</f>
        <v>0</v>
      </c>
      <c r="C43" s="48">
        <f>'Modulo 110'!F5</f>
        <v>0</v>
      </c>
      <c r="D43" s="48">
        <f>'Modulo 110'!F6</f>
        <v>0</v>
      </c>
      <c r="E43" s="48">
        <f>'Modulo 110'!F7</f>
        <v>0</v>
      </c>
      <c r="F43" s="48">
        <f>'Modulo 110'!F8</f>
        <v>0</v>
      </c>
      <c r="G43" s="48">
        <f>'Modulo 110'!F9</f>
        <v>0</v>
      </c>
      <c r="H43" s="48">
        <f>'Modulo 110'!F10</f>
        <v>0</v>
      </c>
      <c r="I43" s="48">
        <f>'Modulo 110'!F11</f>
        <v>0</v>
      </c>
      <c r="J43" s="48">
        <f>'Modulo 110'!F12</f>
        <v>0</v>
      </c>
      <c r="K43" s="49">
        <f>'Modulo 110'!F13</f>
        <v>0</v>
      </c>
      <c r="L43" s="119">
        <f>+SUM(B44:K44)</f>
        <v>0</v>
      </c>
    </row>
    <row r="44" spans="1:12" ht="49.5" customHeight="1" x14ac:dyDescent="0.3">
      <c r="A44" s="54" t="s">
        <v>17</v>
      </c>
      <c r="B44" s="50">
        <f>'Modulo 110'!D4</f>
        <v>0</v>
      </c>
      <c r="C44" s="50">
        <f>'Modulo 110'!D5</f>
        <v>0</v>
      </c>
      <c r="D44" s="50">
        <f>'Modulo 110'!D6</f>
        <v>0</v>
      </c>
      <c r="E44" s="50">
        <f>'Modulo 110'!D7</f>
        <v>0</v>
      </c>
      <c r="F44" s="50">
        <f>'Modulo 110'!D8</f>
        <v>0</v>
      </c>
      <c r="G44" s="50">
        <f>'Modulo 110'!D9</f>
        <v>0</v>
      </c>
      <c r="H44" s="50">
        <f>'Modulo 110'!D10</f>
        <v>0</v>
      </c>
      <c r="I44" s="50">
        <f>'Modulo 110'!D11</f>
        <v>0</v>
      </c>
      <c r="J44" s="50">
        <f>'Modulo 110'!D12</f>
        <v>0</v>
      </c>
      <c r="K44" s="50">
        <f>'Modulo 110'!D13</f>
        <v>0</v>
      </c>
      <c r="L44" s="119"/>
    </row>
    <row r="45" spans="1:12" ht="49.5" customHeight="1" x14ac:dyDescent="0.3">
      <c r="A45" s="54" t="s">
        <v>7</v>
      </c>
      <c r="B45" s="48">
        <f>'Modulo 110'!G4</f>
        <v>0</v>
      </c>
      <c r="C45" s="51" t="str">
        <f>'Modulo 110'!G5</f>
        <v/>
      </c>
      <c r="D45" s="51" t="str">
        <f>'Modulo 110'!G6</f>
        <v/>
      </c>
      <c r="E45" s="51" t="str">
        <f>'Modulo 110'!G7</f>
        <v/>
      </c>
      <c r="F45" s="48" t="str">
        <f>'Modulo 110'!G8</f>
        <v/>
      </c>
      <c r="G45" s="48" t="str">
        <f>'Modulo 110'!G9</f>
        <v/>
      </c>
      <c r="H45" s="48" t="str">
        <f>'Modulo 110'!G10</f>
        <v/>
      </c>
      <c r="I45" s="48" t="str">
        <f>'Modulo 110'!G11</f>
        <v/>
      </c>
      <c r="J45" s="48" t="str">
        <f>'Modulo 110'!G12</f>
        <v/>
      </c>
      <c r="K45" s="48" t="str">
        <f>'Modulo 110'!G13</f>
        <v/>
      </c>
      <c r="L45" s="120">
        <f>+'Modulo 110'!D14/'Modulo 110'!C14</f>
        <v>0</v>
      </c>
    </row>
    <row r="46" spans="1:12" ht="49.5" customHeight="1" x14ac:dyDescent="0.3">
      <c r="A46" s="54" t="s">
        <v>5</v>
      </c>
      <c r="B46" s="50">
        <f>'Modulo 110'!E4</f>
        <v>0</v>
      </c>
      <c r="C46" s="50" t="str">
        <f>'Modulo 110'!E5</f>
        <v/>
      </c>
      <c r="D46" s="50" t="str">
        <f>'Modulo 110'!E6</f>
        <v/>
      </c>
      <c r="E46" s="50" t="str">
        <f>'Modulo 110'!E7</f>
        <v/>
      </c>
      <c r="F46" s="50" t="str">
        <f>'Modulo 110'!E8</f>
        <v/>
      </c>
      <c r="G46" s="50" t="str">
        <f>'Modulo 110'!E9</f>
        <v/>
      </c>
      <c r="H46" s="50" t="str">
        <f>'Modulo 110'!E8</f>
        <v/>
      </c>
      <c r="I46" s="50" t="str">
        <f>'Modulo 110'!E11</f>
        <v/>
      </c>
      <c r="J46" s="50" t="str">
        <f>'Modulo 110'!E12</f>
        <v/>
      </c>
      <c r="K46" s="50" t="str">
        <f>'Modulo 110'!E13</f>
        <v/>
      </c>
      <c r="L46" s="120"/>
    </row>
    <row r="47" spans="1:12" ht="49.5" customHeight="1" x14ac:dyDescent="0.3">
      <c r="A47" s="72" t="s">
        <v>29</v>
      </c>
      <c r="B47" s="74">
        <f>'Modulo 110'!J4</f>
        <v>0</v>
      </c>
      <c r="C47" s="74">
        <f>'Modulo 110'!J5</f>
        <v>0</v>
      </c>
      <c r="D47" s="74">
        <f>'Modulo 110'!J6</f>
        <v>0</v>
      </c>
      <c r="E47" s="74">
        <f>'Modulo 110'!J7</f>
        <v>0</v>
      </c>
      <c r="F47" s="74">
        <f>'Modulo 110'!J8</f>
        <v>0</v>
      </c>
      <c r="G47" s="74">
        <f>'Modulo 110'!J9</f>
        <v>0</v>
      </c>
      <c r="H47" s="74">
        <f>'Modulo 110'!J10</f>
        <v>0</v>
      </c>
      <c r="I47" s="74">
        <f>'Modulo 110'!J11</f>
        <v>0</v>
      </c>
      <c r="J47" s="74">
        <f>'Modulo 110'!J12</f>
        <v>0</v>
      </c>
      <c r="K47" s="74">
        <f>'Modulo 110'!J13</f>
        <v>0</v>
      </c>
      <c r="L47" s="75">
        <f>L48/'Modulo 110'!C14</f>
        <v>0</v>
      </c>
    </row>
    <row r="48" spans="1:12" ht="49.5" customHeight="1" x14ac:dyDescent="0.3">
      <c r="A48" s="72" t="s">
        <v>28</v>
      </c>
      <c r="B48" s="73">
        <f>'Modulo 110'!H4</f>
        <v>0</v>
      </c>
      <c r="C48" s="73">
        <f>'Modulo 110'!H5</f>
        <v>0</v>
      </c>
      <c r="D48" s="73">
        <f>'Modulo 110'!H6</f>
        <v>0</v>
      </c>
      <c r="E48" s="73">
        <f>'Modulo 110'!H7</f>
        <v>0</v>
      </c>
      <c r="F48" s="73">
        <f>'Modulo 110'!H8</f>
        <v>0</v>
      </c>
      <c r="G48" s="73">
        <f>'Modulo 110'!H9</f>
        <v>0</v>
      </c>
      <c r="H48" s="73">
        <f>'Modulo 106'!H10</f>
        <v>0</v>
      </c>
      <c r="I48" s="73">
        <f>'Modulo 110'!H11</f>
        <v>0</v>
      </c>
      <c r="J48" s="73">
        <f>'Modulo 110'!H12</f>
        <v>0</v>
      </c>
      <c r="K48" s="73">
        <f>'Modulo 110'!H13</f>
        <v>0</v>
      </c>
      <c r="L48" s="76">
        <f>+SUM(B48:K48)</f>
        <v>0</v>
      </c>
    </row>
    <row r="51" spans="1:12" ht="90" customHeight="1" x14ac:dyDescent="0.3">
      <c r="A51" s="126" t="str">
        <f>'Modulo 118'!A1</f>
        <v>MÓDULO 118</v>
      </c>
      <c r="B51" s="126"/>
      <c r="C51" s="126"/>
      <c r="D51" s="126"/>
      <c r="E51" s="126"/>
      <c r="F51" s="112"/>
      <c r="G51" s="53" t="s">
        <v>8</v>
      </c>
      <c r="H51" s="115">
        <f>'Modulo 118'!L4</f>
        <v>29254</v>
      </c>
      <c r="I51" s="115"/>
      <c r="J51" s="53" t="s">
        <v>9</v>
      </c>
      <c r="K51" s="117">
        <f>'Modulo 118'!L6</f>
        <v>0</v>
      </c>
      <c r="L51" s="118"/>
    </row>
    <row r="52" spans="1:12" ht="49.5" customHeight="1" x14ac:dyDescent="0.3">
      <c r="A52" s="54" t="s">
        <v>1</v>
      </c>
      <c r="B52" s="47">
        <v>0.3125</v>
      </c>
      <c r="C52" s="47">
        <v>0.35416666666666669</v>
      </c>
      <c r="D52" s="47">
        <v>0.39583333333333331</v>
      </c>
      <c r="E52" s="47">
        <v>0.4375</v>
      </c>
      <c r="F52" s="47">
        <v>0.47916666666666669</v>
      </c>
      <c r="G52" s="52">
        <v>0.52083333333333337</v>
      </c>
      <c r="H52" s="52">
        <v>6.25E-2</v>
      </c>
      <c r="I52" s="52">
        <v>0.10416666666666667</v>
      </c>
      <c r="J52" s="52">
        <v>0.14583333333333334</v>
      </c>
      <c r="K52" s="52">
        <v>0.1875</v>
      </c>
      <c r="L52" s="60" t="s">
        <v>23</v>
      </c>
    </row>
    <row r="53" spans="1:12" ht="49.5" customHeight="1" x14ac:dyDescent="0.3">
      <c r="A53" s="54" t="s">
        <v>6</v>
      </c>
      <c r="B53" s="48">
        <f>'Modulo 118'!F4</f>
        <v>0</v>
      </c>
      <c r="C53" s="48">
        <f>'Modulo 118'!F5</f>
        <v>0</v>
      </c>
      <c r="D53" s="48">
        <f>'Modulo 118'!F6</f>
        <v>0</v>
      </c>
      <c r="E53" s="48">
        <f>'Modulo 118'!F7</f>
        <v>0</v>
      </c>
      <c r="F53" s="48">
        <f>'Modulo 118'!F8</f>
        <v>0</v>
      </c>
      <c r="G53" s="48">
        <f>'Modulo 118'!F9</f>
        <v>0</v>
      </c>
      <c r="H53" s="48">
        <f>'Modulo 118'!F10</f>
        <v>0</v>
      </c>
      <c r="I53" s="48">
        <f>'Modulo 118'!F11</f>
        <v>0</v>
      </c>
      <c r="J53" s="48">
        <f>'Modulo 118'!F12</f>
        <v>0</v>
      </c>
      <c r="K53" s="49">
        <f>'Modulo 118'!F13</f>
        <v>0</v>
      </c>
      <c r="L53" s="119">
        <f>+SUM(B54:K54)</f>
        <v>0</v>
      </c>
    </row>
    <row r="54" spans="1:12" ht="49.5" customHeight="1" x14ac:dyDescent="0.3">
      <c r="A54" s="54" t="s">
        <v>17</v>
      </c>
      <c r="B54" s="50">
        <f>'Modulo 118'!D4</f>
        <v>0</v>
      </c>
      <c r="C54" s="50">
        <f>'Modulo 118'!D5</f>
        <v>0</v>
      </c>
      <c r="D54" s="50">
        <f>'Modulo 118'!D6</f>
        <v>0</v>
      </c>
      <c r="E54" s="50">
        <f>'Modulo 118'!D7</f>
        <v>0</v>
      </c>
      <c r="F54" s="50">
        <f>'Modulo 118'!D8</f>
        <v>0</v>
      </c>
      <c r="G54" s="50">
        <f>'Modulo 118'!D9</f>
        <v>0</v>
      </c>
      <c r="H54" s="50">
        <f>'Modulo 118'!D10</f>
        <v>0</v>
      </c>
      <c r="I54" s="50">
        <f>'Modulo 118'!D11</f>
        <v>0</v>
      </c>
      <c r="J54" s="50">
        <f>'Modulo 118'!D12</f>
        <v>0</v>
      </c>
      <c r="K54" s="50">
        <f>'Modulo 118'!D13</f>
        <v>0</v>
      </c>
      <c r="L54" s="119"/>
    </row>
    <row r="55" spans="1:12" ht="49.5" customHeight="1" x14ac:dyDescent="0.3">
      <c r="A55" s="54" t="s">
        <v>7</v>
      </c>
      <c r="B55" s="48">
        <f>'Modulo 118'!G4</f>
        <v>0</v>
      </c>
      <c r="C55" s="51" t="str">
        <f>'Modulo 118'!G5</f>
        <v/>
      </c>
      <c r="D55" s="51" t="str">
        <f>'Modulo 118'!G6</f>
        <v/>
      </c>
      <c r="E55" s="51" t="str">
        <f>'Modulo 118'!G7</f>
        <v/>
      </c>
      <c r="F55" s="48" t="str">
        <f>'Modulo 118'!G8</f>
        <v/>
      </c>
      <c r="G55" s="48" t="str">
        <f>'Modulo 118'!G9</f>
        <v/>
      </c>
      <c r="H55" s="48" t="str">
        <f>'Modulo 118'!G10</f>
        <v/>
      </c>
      <c r="I55" s="48" t="str">
        <f>'Modulo 118'!G11</f>
        <v/>
      </c>
      <c r="J55" s="48" t="str">
        <f>'Modulo 118'!G12</f>
        <v/>
      </c>
      <c r="K55" s="48" t="str">
        <f>'Modulo 118'!G13</f>
        <v/>
      </c>
      <c r="L55" s="120">
        <f>+'Modulo 118'!D14/'Modulo 118'!C14</f>
        <v>0</v>
      </c>
    </row>
    <row r="56" spans="1:12" ht="49.5" customHeight="1" x14ac:dyDescent="0.3">
      <c r="A56" s="54" t="s">
        <v>5</v>
      </c>
      <c r="B56" s="50">
        <f>'Modulo 118'!E4</f>
        <v>0</v>
      </c>
      <c r="C56" s="50" t="str">
        <f>'Modulo 118'!E5</f>
        <v/>
      </c>
      <c r="D56" s="50" t="str">
        <f>'Modulo 118'!E6</f>
        <v/>
      </c>
      <c r="E56" s="50" t="str">
        <f>'Modulo 118'!E7</f>
        <v/>
      </c>
      <c r="F56" s="50" t="str">
        <f>'Modulo 118'!E8</f>
        <v/>
      </c>
      <c r="G56" s="50" t="str">
        <f>'Modulo 118'!E9</f>
        <v/>
      </c>
      <c r="H56" s="50" t="str">
        <f>'Modulo 118'!E10</f>
        <v/>
      </c>
      <c r="I56" s="50" t="str">
        <f>'Modulo 118'!E11</f>
        <v/>
      </c>
      <c r="J56" s="50" t="str">
        <f>'Modulo 118'!E12</f>
        <v/>
      </c>
      <c r="K56" s="50" t="str">
        <f>'Modulo 118'!E13</f>
        <v/>
      </c>
      <c r="L56" s="120"/>
    </row>
    <row r="57" spans="1:12" ht="57.6" x14ac:dyDescent="0.3">
      <c r="A57" s="72" t="s">
        <v>29</v>
      </c>
      <c r="B57" s="74">
        <f>'Modulo 118'!J4</f>
        <v>0</v>
      </c>
      <c r="C57" s="74">
        <f>'Modulo 118'!J5</f>
        <v>0</v>
      </c>
      <c r="D57" s="74">
        <f>'Modulo 118'!J6</f>
        <v>0</v>
      </c>
      <c r="E57" s="74">
        <f>'Modulo 118'!J7</f>
        <v>0</v>
      </c>
      <c r="F57" s="74">
        <f>'Modulo 118'!J8</f>
        <v>0</v>
      </c>
      <c r="G57" s="74">
        <f>'Modulo 118'!J9</f>
        <v>0</v>
      </c>
      <c r="H57" s="74">
        <f>'Modulo 118'!J10</f>
        <v>0</v>
      </c>
      <c r="I57" s="74">
        <f>'Modulo 118'!J11</f>
        <v>0</v>
      </c>
      <c r="J57" s="74">
        <f>'Modulo 118'!J12</f>
        <v>0</v>
      </c>
      <c r="K57" s="74">
        <f>'Modulo 118'!J13</f>
        <v>0</v>
      </c>
      <c r="L57" s="75">
        <f>+L58/'Modulo 118'!C14</f>
        <v>0</v>
      </c>
    </row>
    <row r="58" spans="1:12" ht="52.8" x14ac:dyDescent="0.3">
      <c r="A58" s="72" t="s">
        <v>28</v>
      </c>
      <c r="B58" s="73">
        <f>'Modulo 118'!H4</f>
        <v>0</v>
      </c>
      <c r="C58" s="73">
        <f>'Modulo 118'!H5</f>
        <v>0</v>
      </c>
      <c r="D58" s="73">
        <f>'Modulo 118'!H6</f>
        <v>0</v>
      </c>
      <c r="E58" s="73">
        <f>'Modulo 118'!H7</f>
        <v>0</v>
      </c>
      <c r="F58" s="73">
        <f>'Modulo 118'!H8</f>
        <v>0</v>
      </c>
      <c r="G58" s="73">
        <f>'Modulo 118'!H9</f>
        <v>0</v>
      </c>
      <c r="H58" s="73">
        <f>'Modulo 118'!H10</f>
        <v>0</v>
      </c>
      <c r="I58" s="73">
        <f>'Modulo 118'!H11</f>
        <v>0</v>
      </c>
      <c r="J58" s="73">
        <f>'Modulo 118'!H12</f>
        <v>0</v>
      </c>
      <c r="K58" s="73">
        <f>'Modulo 118'!H13</f>
        <v>0</v>
      </c>
      <c r="L58" s="76">
        <f>+SUM(B58:K58)</f>
        <v>0</v>
      </c>
    </row>
    <row r="59" spans="1:12" ht="90" hidden="1" customHeight="1" x14ac:dyDescent="0.3">
      <c r="A59" s="126" t="str">
        <f>'Modulo 133'!A1</f>
        <v>MÓDULO 133</v>
      </c>
      <c r="B59" s="126"/>
      <c r="C59" s="126"/>
      <c r="D59" s="126"/>
      <c r="E59" s="126"/>
      <c r="F59" s="112"/>
      <c r="G59" s="53" t="s">
        <v>8</v>
      </c>
      <c r="H59" s="115">
        <f>'Modulo 133'!H4</f>
        <v>44537</v>
      </c>
      <c r="I59" s="115"/>
      <c r="J59" s="53" t="s">
        <v>9</v>
      </c>
      <c r="K59" s="117">
        <f>'Modulo 133'!H6</f>
        <v>46057003</v>
      </c>
      <c r="L59" s="118"/>
    </row>
    <row r="60" spans="1:12" ht="49.5" hidden="1" customHeight="1" x14ac:dyDescent="0.3">
      <c r="A60" s="54" t="s">
        <v>1</v>
      </c>
      <c r="B60" s="47">
        <v>0.3125</v>
      </c>
      <c r="C60" s="47">
        <v>0.35416666666666669</v>
      </c>
      <c r="D60" s="47">
        <v>0.39583333333333331</v>
      </c>
      <c r="E60" s="47">
        <v>0.4375</v>
      </c>
      <c r="F60" s="47">
        <v>0.47916666666666669</v>
      </c>
      <c r="G60" s="52">
        <v>0.52083333333333337</v>
      </c>
      <c r="H60" s="52">
        <v>6.25E-2</v>
      </c>
      <c r="I60" s="52">
        <v>0.10416666666666667</v>
      </c>
      <c r="J60" s="52">
        <v>0.14583333333333334</v>
      </c>
      <c r="K60" s="52">
        <v>0.1875</v>
      </c>
      <c r="L60" s="60" t="s">
        <v>23</v>
      </c>
    </row>
    <row r="61" spans="1:12" ht="49.5" hidden="1" customHeight="1" x14ac:dyDescent="0.3">
      <c r="A61" s="54" t="s">
        <v>6</v>
      </c>
      <c r="B61" s="48">
        <f>'Modulo 133'!F4</f>
        <v>1.1363636363636365</v>
      </c>
      <c r="C61" s="48">
        <f>'Modulo 133'!F5</f>
        <v>0.90909090909090906</v>
      </c>
      <c r="D61" s="48">
        <f>'Modulo 133'!F6</f>
        <v>0.81132075471698117</v>
      </c>
      <c r="E61" s="48">
        <f>'Modulo 133'!F7</f>
        <v>1.5094339622641511</v>
      </c>
      <c r="F61" s="48">
        <f>'Modulo 133'!F8</f>
        <v>1.2641509433962264</v>
      </c>
      <c r="G61" s="48">
        <f>'Modulo 133'!F9</f>
        <v>1.4716981132075471</v>
      </c>
      <c r="H61" s="48">
        <f>'Modulo 133'!F10</f>
        <v>1.5</v>
      </c>
      <c r="I61" s="48">
        <f>'Modulo 133'!F11</f>
        <v>1.679245283018868</v>
      </c>
      <c r="J61" s="48">
        <f>'Modulo 133'!F12</f>
        <v>1.0566037735849056</v>
      </c>
      <c r="K61" s="49">
        <f>'Modulo 133'!F13</f>
        <v>3.7735849056603772E-2</v>
      </c>
      <c r="L61" s="119">
        <f>+SUM(B62:K62)</f>
        <v>565</v>
      </c>
    </row>
    <row r="62" spans="1:12" ht="49.5" hidden="1" customHeight="1" x14ac:dyDescent="0.3">
      <c r="A62" s="54" t="s">
        <v>17</v>
      </c>
      <c r="B62" s="50">
        <f>'Modulo 133'!D4</f>
        <v>50</v>
      </c>
      <c r="C62" s="50">
        <f>'Modulo 133'!D5</f>
        <v>40</v>
      </c>
      <c r="D62" s="50">
        <f>'Modulo 133'!D6</f>
        <v>43</v>
      </c>
      <c r="E62" s="50">
        <f>'Modulo 133'!D7</f>
        <v>80</v>
      </c>
      <c r="F62" s="50">
        <f>'Modulo 133'!D8</f>
        <v>67</v>
      </c>
      <c r="G62" s="50">
        <f>'Modulo 133'!D9</f>
        <v>78</v>
      </c>
      <c r="H62" s="50">
        <f>'Modulo 133'!D10</f>
        <v>60</v>
      </c>
      <c r="I62" s="50">
        <f>'Modulo 133'!D11</f>
        <v>89</v>
      </c>
      <c r="J62" s="50">
        <f>'Modulo 133'!D12</f>
        <v>56</v>
      </c>
      <c r="K62" s="50">
        <f>'Modulo 133'!D13</f>
        <v>2</v>
      </c>
      <c r="L62" s="119"/>
    </row>
    <row r="63" spans="1:12" ht="49.5" hidden="1" customHeight="1" x14ac:dyDescent="0.3">
      <c r="A63" s="54" t="s">
        <v>7</v>
      </c>
      <c r="B63" s="48">
        <f>'Modulo 133'!G4</f>
        <v>1.1363636363636365</v>
      </c>
      <c r="C63" s="51">
        <f>'Modulo 133'!G5</f>
        <v>1.0227272727272727</v>
      </c>
      <c r="D63" s="51">
        <f>'Modulo 133'!G6</f>
        <v>0.94326241134751776</v>
      </c>
      <c r="E63" s="51">
        <f>'Modulo 133'!G7</f>
        <v>1.097938144329897</v>
      </c>
      <c r="F63" s="48">
        <f>'Modulo 133'!G8</f>
        <v>1.1336032388663968</v>
      </c>
      <c r="G63" s="48">
        <f>'Modulo 133'!G9</f>
        <v>1.1933333333333334</v>
      </c>
      <c r="H63" s="48">
        <f>'Modulo 133'!G10</f>
        <v>1.2294117647058824</v>
      </c>
      <c r="I63" s="48">
        <f>'Modulo 133'!G11</f>
        <v>1.2900763358778626</v>
      </c>
      <c r="J63" s="48">
        <f>'Modulo 133'!G12</f>
        <v>1.2623318385650224</v>
      </c>
      <c r="K63" s="48">
        <f>'Modulo 133'!G13</f>
        <v>1.1322645290581161</v>
      </c>
      <c r="L63" s="120">
        <f>+L61/'Modulo 133'!C13</f>
        <v>1.1322645290581161</v>
      </c>
    </row>
    <row r="64" spans="1:12" ht="49.5" hidden="1" customHeight="1" x14ac:dyDescent="0.3">
      <c r="A64" s="54" t="s">
        <v>5</v>
      </c>
      <c r="B64" s="50">
        <f>'Modulo 133'!E4</f>
        <v>50</v>
      </c>
      <c r="C64" s="50">
        <f>'Modulo 133'!E5</f>
        <v>90</v>
      </c>
      <c r="D64" s="50">
        <f>'Modulo 133'!E6</f>
        <v>133</v>
      </c>
      <c r="E64" s="50">
        <f>'Modulo 133'!E7</f>
        <v>213</v>
      </c>
      <c r="F64" s="50">
        <f>'Modulo 133'!E8</f>
        <v>280</v>
      </c>
      <c r="G64" s="50">
        <f>'Modulo 133'!E9</f>
        <v>358</v>
      </c>
      <c r="H64" s="50">
        <f>'Modulo 133'!E10</f>
        <v>418</v>
      </c>
      <c r="I64" s="50">
        <f>'Modulo 133'!E11</f>
        <v>507</v>
      </c>
      <c r="J64" s="50">
        <f>'Modulo 133'!E12</f>
        <v>563</v>
      </c>
      <c r="K64" s="50">
        <f>'Modulo 133'!E13</f>
        <v>565</v>
      </c>
      <c r="L64" s="120"/>
    </row>
    <row r="67" spans="1:12" ht="73.2" x14ac:dyDescent="0.3">
      <c r="A67" s="112" t="str">
        <f>'Modulo 200'!A1</f>
        <v>MÓDULO 200</v>
      </c>
      <c r="B67" s="113"/>
      <c r="C67" s="113"/>
      <c r="D67" s="113"/>
      <c r="E67" s="113"/>
      <c r="F67" s="114"/>
      <c r="G67" s="53" t="s">
        <v>8</v>
      </c>
      <c r="H67" s="115">
        <f>'Modulo 200'!L4</f>
        <v>27676</v>
      </c>
      <c r="I67" s="116"/>
      <c r="J67" s="53" t="s">
        <v>9</v>
      </c>
      <c r="K67" s="117">
        <f>'Modulo 200'!L6</f>
        <v>0</v>
      </c>
      <c r="L67" s="118"/>
    </row>
    <row r="68" spans="1:12" ht="49.5" customHeight="1" x14ac:dyDescent="0.3">
      <c r="A68" s="54" t="s">
        <v>1</v>
      </c>
      <c r="B68" s="47">
        <v>0.3125</v>
      </c>
      <c r="C68" s="47">
        <v>0.35416666666666669</v>
      </c>
      <c r="D68" s="47">
        <v>0.39583333333333331</v>
      </c>
      <c r="E68" s="47">
        <v>0.4375</v>
      </c>
      <c r="F68" s="47">
        <v>0.47916666666666669</v>
      </c>
      <c r="G68" s="52">
        <v>0.52083333333333337</v>
      </c>
      <c r="H68" s="52">
        <v>6.25E-2</v>
      </c>
      <c r="I68" s="52">
        <v>0.10416666666666667</v>
      </c>
      <c r="J68" s="52">
        <v>0.14583333333333334</v>
      </c>
      <c r="K68" s="52">
        <v>0.1875</v>
      </c>
      <c r="L68" s="60" t="s">
        <v>23</v>
      </c>
    </row>
    <row r="69" spans="1:12" ht="49.5" customHeight="1" x14ac:dyDescent="0.3">
      <c r="A69" s="54" t="s">
        <v>6</v>
      </c>
      <c r="B69" s="48">
        <f>'Modulo 200'!F4</f>
        <v>1.0805714285714285</v>
      </c>
      <c r="C69" s="48">
        <f>'Modulo 200'!F5</f>
        <v>0.90047619047619043</v>
      </c>
      <c r="D69" s="48">
        <f>'Modulo 200'!F6</f>
        <v>0.90047619047619043</v>
      </c>
      <c r="E69" s="48">
        <f>'Modulo 200'!F7</f>
        <v>0.90047619047619043</v>
      </c>
      <c r="F69" s="48">
        <f>'Modulo 200'!F8</f>
        <v>0.90047619047619043</v>
      </c>
      <c r="G69" s="48">
        <f>'Modulo 200'!F9</f>
        <v>0.94550000000000001</v>
      </c>
      <c r="H69" s="48">
        <f>'Modulo 200'!F10</f>
        <v>0.90047619047619043</v>
      </c>
      <c r="I69" s="48">
        <f>'Modulo 200'!F11</f>
        <v>0.90047619047619043</v>
      </c>
      <c r="J69" s="48">
        <f>'Modulo 200'!F12</f>
        <v>0</v>
      </c>
      <c r="K69" s="49">
        <f>'Modulo 200'!F13</f>
        <v>0</v>
      </c>
      <c r="L69" s="119">
        <f>+SUM(B70:K70)</f>
        <v>154</v>
      </c>
    </row>
    <row r="70" spans="1:12" ht="49.5" customHeight="1" x14ac:dyDescent="0.3">
      <c r="A70" s="54" t="s">
        <v>17</v>
      </c>
      <c r="B70" s="50">
        <f>'Modulo 200'!D4</f>
        <v>20</v>
      </c>
      <c r="C70" s="50">
        <f>'Modulo 200'!D5</f>
        <v>20</v>
      </c>
      <c r="D70" s="50">
        <f>'Modulo 200'!D6</f>
        <v>20</v>
      </c>
      <c r="E70" s="50">
        <f>'Modulo 200'!D7</f>
        <v>20</v>
      </c>
      <c r="F70" s="50">
        <f>'Modulo 200'!D8</f>
        <v>20</v>
      </c>
      <c r="G70" s="50">
        <f>'Modulo 200'!D9</f>
        <v>14</v>
      </c>
      <c r="H70" s="50">
        <f>'Modulo 200'!D10</f>
        <v>20</v>
      </c>
      <c r="I70" s="50">
        <f>'Modulo 200'!D11</f>
        <v>20</v>
      </c>
      <c r="J70" s="50">
        <f>'Modulo 200'!D12</f>
        <v>0</v>
      </c>
      <c r="K70" s="50">
        <f>'Modulo 200'!D13</f>
        <v>0</v>
      </c>
      <c r="L70" s="119"/>
    </row>
    <row r="71" spans="1:12" ht="49.5" customHeight="1" x14ac:dyDescent="0.3">
      <c r="A71" s="54" t="s">
        <v>7</v>
      </c>
      <c r="B71" s="48">
        <f>'Modulo 200'!G4</f>
        <v>1.0805714285714285</v>
      </c>
      <c r="C71" s="51">
        <f>'Modulo 200'!G5</f>
        <v>0.9823376623376624</v>
      </c>
      <c r="D71" s="51">
        <f>'Modulo 200'!G6</f>
        <v>0.95344537815126063</v>
      </c>
      <c r="E71" s="51">
        <f>'Modulo 200'!G7</f>
        <v>0.93962732919254666</v>
      </c>
      <c r="F71" s="48">
        <f>'Modulo 200'!G8</f>
        <v>0.93152709359605923</v>
      </c>
      <c r="G71" s="48">
        <f>'Modulo 200'!G9</f>
        <v>0.93322077922077928</v>
      </c>
      <c r="H71" s="48">
        <f>'Modulo 200'!G10</f>
        <v>0.92818315018315023</v>
      </c>
      <c r="I71" s="48">
        <f>'Modulo 200'!G11</f>
        <v>0.92448888888888892</v>
      </c>
      <c r="J71" s="48" t="str">
        <f>'Modulo 200'!G12</f>
        <v/>
      </c>
      <c r="K71" s="48" t="str">
        <f>'Modulo 200'!G13</f>
        <v/>
      </c>
      <c r="L71" s="120">
        <f>+'Modulo 200'!D14/'Modulo 200'!C14</f>
        <v>0.92448888888888892</v>
      </c>
    </row>
    <row r="72" spans="1:12" ht="49.5" customHeight="1" x14ac:dyDescent="0.3">
      <c r="A72" s="54" t="s">
        <v>5</v>
      </c>
      <c r="B72" s="50">
        <f>'Modulo 200'!E4</f>
        <v>20</v>
      </c>
      <c r="C72" s="50">
        <f>'Modulo 200'!E5</f>
        <v>40</v>
      </c>
      <c r="D72" s="50">
        <f>'Modulo 200'!E6</f>
        <v>60</v>
      </c>
      <c r="E72" s="50">
        <f>'Modulo 200'!E7</f>
        <v>80</v>
      </c>
      <c r="F72" s="50">
        <f>'Modulo 200'!E8</f>
        <v>100</v>
      </c>
      <c r="G72" s="50">
        <f>'Modulo 200'!E9</f>
        <v>114</v>
      </c>
      <c r="H72" s="50">
        <f>'Modulo 200'!E10</f>
        <v>134</v>
      </c>
      <c r="I72" s="50">
        <f>'Modulo 200'!E11</f>
        <v>154</v>
      </c>
      <c r="J72" s="50" t="str">
        <f>'Modulo 200'!E12</f>
        <v/>
      </c>
      <c r="K72" s="50" t="str">
        <f>'Modulo 200'!E13</f>
        <v/>
      </c>
      <c r="L72" s="120"/>
    </row>
    <row r="73" spans="1:12" ht="57.6" x14ac:dyDescent="0.3">
      <c r="A73" s="72" t="s">
        <v>29</v>
      </c>
      <c r="B73" s="74">
        <f>'Modulo 200'!J4</f>
        <v>0</v>
      </c>
      <c r="C73" s="74">
        <f>'Modulo 200'!J5</f>
        <v>0</v>
      </c>
      <c r="D73" s="74">
        <f>'Modulo 200'!J6</f>
        <v>0</v>
      </c>
      <c r="E73" s="74">
        <f>'Modulo 200'!J7</f>
        <v>0</v>
      </c>
      <c r="F73" s="74">
        <f>'Modulo 200'!J8</f>
        <v>0</v>
      </c>
      <c r="G73" s="74">
        <f>'Modulo 200'!J9</f>
        <v>0</v>
      </c>
      <c r="H73" s="74">
        <f>'Modulo 200'!J10</f>
        <v>0</v>
      </c>
      <c r="I73" s="74">
        <f>'Modulo 200'!J11</f>
        <v>0</v>
      </c>
      <c r="J73" s="74">
        <f>'Modulo 200'!J12</f>
        <v>0</v>
      </c>
      <c r="K73" s="74">
        <f>'Modulo 200'!J13</f>
        <v>0</v>
      </c>
      <c r="L73" s="75">
        <f>+L74/'Modulo 200'!C14</f>
        <v>0</v>
      </c>
    </row>
    <row r="74" spans="1:12" ht="52.8" x14ac:dyDescent="0.3">
      <c r="A74" s="72" t="s">
        <v>28</v>
      </c>
      <c r="B74" s="73">
        <f>'Modulo 200'!H4</f>
        <v>0</v>
      </c>
      <c r="C74" s="73">
        <f>'Modulo 200'!H5</f>
        <v>0</v>
      </c>
      <c r="D74" s="73">
        <f>'Modulo 200'!H6</f>
        <v>0</v>
      </c>
      <c r="E74" s="73">
        <f>'Modulo 200'!H7</f>
        <v>0</v>
      </c>
      <c r="F74" s="73">
        <f>'Modulo 200'!H8</f>
        <v>0</v>
      </c>
      <c r="G74" s="73">
        <f>'Modulo 200'!H9</f>
        <v>0</v>
      </c>
      <c r="H74" s="73">
        <f>'Modulo 200'!H10</f>
        <v>0</v>
      </c>
      <c r="I74" s="73">
        <f>'Modulo 200'!H11</f>
        <v>0</v>
      </c>
      <c r="J74" s="73">
        <f>'Modulo 200'!H12</f>
        <v>0</v>
      </c>
      <c r="K74" s="73">
        <f>'Modulo 200'!H13</f>
        <v>0</v>
      </c>
      <c r="L74" s="76">
        <f>+SUM(B74:K74)</f>
        <v>0</v>
      </c>
    </row>
  </sheetData>
  <mergeCells count="46">
    <mergeCell ref="A59:F59"/>
    <mergeCell ref="H59:I59"/>
    <mergeCell ref="K59:L59"/>
    <mergeCell ref="L61:L62"/>
    <mergeCell ref="L63:L64"/>
    <mergeCell ref="A51:F51"/>
    <mergeCell ref="H51:I51"/>
    <mergeCell ref="K51:L51"/>
    <mergeCell ref="L53:L54"/>
    <mergeCell ref="L55:L56"/>
    <mergeCell ref="A1:D1"/>
    <mergeCell ref="A2:D2"/>
    <mergeCell ref="E1:I1"/>
    <mergeCell ref="E2:I2"/>
    <mergeCell ref="J2:L2"/>
    <mergeCell ref="J1:L1"/>
    <mergeCell ref="A41:F41"/>
    <mergeCell ref="H41:I41"/>
    <mergeCell ref="K41:L41"/>
    <mergeCell ref="L43:L44"/>
    <mergeCell ref="L45:L46"/>
    <mergeCell ref="A31:F31"/>
    <mergeCell ref="H31:I31"/>
    <mergeCell ref="K31:L31"/>
    <mergeCell ref="L33:L34"/>
    <mergeCell ref="L35:L36"/>
    <mergeCell ref="A23:F23"/>
    <mergeCell ref="L25:L26"/>
    <mergeCell ref="L27:L28"/>
    <mergeCell ref="H23:I23"/>
    <mergeCell ref="K23:L23"/>
    <mergeCell ref="A13:F13"/>
    <mergeCell ref="L15:L16"/>
    <mergeCell ref="L17:L18"/>
    <mergeCell ref="H13:I13"/>
    <mergeCell ref="K13:L13"/>
    <mergeCell ref="A3:F3"/>
    <mergeCell ref="L5:L6"/>
    <mergeCell ref="L7:L8"/>
    <mergeCell ref="H3:I3"/>
    <mergeCell ref="K3:L3"/>
    <mergeCell ref="A67:F67"/>
    <mergeCell ref="H67:I67"/>
    <mergeCell ref="K67:L67"/>
    <mergeCell ref="L69:L70"/>
    <mergeCell ref="L71:L72"/>
  </mergeCells>
  <conditionalFormatting sqref="B5:K5 B7:K7 L7:L8">
    <cfRule type="cellIs" dxfId="92" priority="95" operator="greaterThan">
      <formula>0.8</formula>
    </cfRule>
    <cfRule type="cellIs" dxfId="91" priority="97" operator="lessThan">
      <formula>0.6</formula>
    </cfRule>
  </conditionalFormatting>
  <conditionalFormatting sqref="B5:K5 B7:K7 L7:L8">
    <cfRule type="cellIs" dxfId="90" priority="96" operator="between">
      <formula>0.61</formula>
      <formula>0.79</formula>
    </cfRule>
  </conditionalFormatting>
  <conditionalFormatting sqref="B25:K25 B27:K27 L27:L28">
    <cfRule type="cellIs" dxfId="89" priority="89" operator="greaterThan">
      <formula>0.8</formula>
    </cfRule>
    <cfRule type="cellIs" dxfId="88" priority="91" operator="lessThan">
      <formula>0.6</formula>
    </cfRule>
  </conditionalFormatting>
  <conditionalFormatting sqref="B25:K25 B27:K27 L27:L28">
    <cfRule type="cellIs" dxfId="87" priority="90" operator="between">
      <formula>0.61</formula>
      <formula>0.79</formula>
    </cfRule>
  </conditionalFormatting>
  <conditionalFormatting sqref="B33:K33 B35:K35 L35:L38">
    <cfRule type="cellIs" dxfId="86" priority="83" operator="greaterThan">
      <formula>0.8</formula>
    </cfRule>
    <cfRule type="cellIs" dxfId="85" priority="85" operator="lessThan">
      <formula>0.6</formula>
    </cfRule>
  </conditionalFormatting>
  <conditionalFormatting sqref="B33:K33 B35:K35 L35:L38">
    <cfRule type="cellIs" dxfId="84" priority="84" operator="between">
      <formula>0.61</formula>
      <formula>0.79</formula>
    </cfRule>
  </conditionalFormatting>
  <conditionalFormatting sqref="B43:K43 B45:K45 L45:L46">
    <cfRule type="cellIs" dxfId="83" priority="80" operator="greaterThan">
      <formula>0.8</formula>
    </cfRule>
    <cfRule type="cellIs" dxfId="82" priority="82" operator="lessThan">
      <formula>0.6</formula>
    </cfRule>
  </conditionalFormatting>
  <conditionalFormatting sqref="B43:K43 B45:K45 L45:L46">
    <cfRule type="cellIs" dxfId="81" priority="81" operator="between">
      <formula>0.61</formula>
      <formula>0.79</formula>
    </cfRule>
  </conditionalFormatting>
  <conditionalFormatting sqref="B53:K53 B55:K55 L55:L56">
    <cfRule type="cellIs" dxfId="80" priority="77" operator="greaterThan">
      <formula>0.8</formula>
    </cfRule>
    <cfRule type="cellIs" dxfId="79" priority="79" operator="lessThan">
      <formula>0.6</formula>
    </cfRule>
  </conditionalFormatting>
  <conditionalFormatting sqref="B53:K53 B55:K55 L55:L56">
    <cfRule type="cellIs" dxfId="78" priority="78" operator="between">
      <formula>0.61</formula>
      <formula>0.79</formula>
    </cfRule>
  </conditionalFormatting>
  <conditionalFormatting sqref="B61:K61 B63:K63 L63:L64">
    <cfRule type="cellIs" dxfId="77" priority="74" operator="greaterThan">
      <formula>0.8</formula>
    </cfRule>
    <cfRule type="cellIs" dxfId="76" priority="76" operator="lessThan">
      <formula>0.6</formula>
    </cfRule>
  </conditionalFormatting>
  <conditionalFormatting sqref="B61:K61 B63:K63 L63:L64">
    <cfRule type="cellIs" dxfId="75" priority="75" operator="between">
      <formula>0.61</formula>
      <formula>0.79</formula>
    </cfRule>
  </conditionalFormatting>
  <conditionalFormatting sqref="B69:K69 B71:K71 L71:L72">
    <cfRule type="cellIs" dxfId="74" priority="71" operator="greaterThan">
      <formula>0.8</formula>
    </cfRule>
    <cfRule type="cellIs" dxfId="73" priority="73" operator="lessThan">
      <formula>0.6</formula>
    </cfRule>
  </conditionalFormatting>
  <conditionalFormatting sqref="B69:K69 B71:K71 L71:L72">
    <cfRule type="cellIs" dxfId="72" priority="72" operator="between">
      <formula>0.61</formula>
      <formula>0.79</formula>
    </cfRule>
  </conditionalFormatting>
  <conditionalFormatting sqref="B15:K15 B17:K17 L17:L18">
    <cfRule type="cellIs" dxfId="71" priority="68" operator="greaterThan">
      <formula>0.8</formula>
    </cfRule>
    <cfRule type="cellIs" dxfId="70" priority="70" operator="lessThan">
      <formula>0.6</formula>
    </cfRule>
  </conditionalFormatting>
  <conditionalFormatting sqref="B15:K15 B17:K17 L17:L18">
    <cfRule type="cellIs" dxfId="69" priority="69" operator="between">
      <formula>0.61</formula>
      <formula>0.79</formula>
    </cfRule>
  </conditionalFormatting>
  <conditionalFormatting sqref="B37:K38">
    <cfRule type="cellIs" dxfId="68" priority="67" operator="greaterThanOrEqual">
      <formula>1</formula>
    </cfRule>
  </conditionalFormatting>
  <conditionalFormatting sqref="B37:L38">
    <cfRule type="cellIs" dxfId="67" priority="66" operator="greaterThanOrEqual">
      <formula>1</formula>
    </cfRule>
  </conditionalFormatting>
  <conditionalFormatting sqref="B38:L38">
    <cfRule type="cellIs" dxfId="66" priority="65" operator="lessThan">
      <formula>1</formula>
    </cfRule>
  </conditionalFormatting>
  <conditionalFormatting sqref="B37:L37">
    <cfRule type="cellIs" dxfId="65" priority="62" operator="lessThan">
      <formula>0.01</formula>
    </cfRule>
    <cfRule type="cellIs" dxfId="64" priority="63" operator="greaterThanOrEqual">
      <formula>0.01</formula>
    </cfRule>
  </conditionalFormatting>
  <conditionalFormatting sqref="L48">
    <cfRule type="cellIs" dxfId="63" priority="59" operator="greaterThan">
      <formula>0.8</formula>
    </cfRule>
    <cfRule type="cellIs" dxfId="62" priority="61" operator="lessThan">
      <formula>0.6</formula>
    </cfRule>
  </conditionalFormatting>
  <conditionalFormatting sqref="L48">
    <cfRule type="cellIs" dxfId="61" priority="60" operator="between">
      <formula>0.61</formula>
      <formula>0.79</formula>
    </cfRule>
  </conditionalFormatting>
  <conditionalFormatting sqref="B47:K48">
    <cfRule type="cellIs" dxfId="60" priority="58" operator="greaterThanOrEqual">
      <formula>1</formula>
    </cfRule>
  </conditionalFormatting>
  <conditionalFormatting sqref="B48:L48 B47:K47">
    <cfRule type="cellIs" dxfId="59" priority="57" operator="greaterThanOrEqual">
      <formula>1</formula>
    </cfRule>
  </conditionalFormatting>
  <conditionalFormatting sqref="B48:L48">
    <cfRule type="cellIs" dxfId="58" priority="56" operator="lessThan">
      <formula>1</formula>
    </cfRule>
  </conditionalFormatting>
  <conditionalFormatting sqref="B47:K47">
    <cfRule type="cellIs" dxfId="57" priority="54" operator="lessThan">
      <formula>0.01</formula>
    </cfRule>
    <cfRule type="cellIs" dxfId="56" priority="55" operator="greaterThanOrEqual">
      <formula>0.01</formula>
    </cfRule>
  </conditionalFormatting>
  <conditionalFormatting sqref="L47">
    <cfRule type="cellIs" dxfId="55" priority="47" operator="greaterThanOrEqual">
      <formula>0.01</formula>
    </cfRule>
    <cfRule type="cellIs" dxfId="54" priority="51" operator="greaterThan">
      <formula>0.8</formula>
    </cfRule>
    <cfRule type="cellIs" dxfId="53" priority="53" operator="lessThan">
      <formula>0.6</formula>
    </cfRule>
  </conditionalFormatting>
  <conditionalFormatting sqref="L47">
    <cfRule type="cellIs" dxfId="52" priority="52" operator="between">
      <formula>0.61</formula>
      <formula>0.79</formula>
    </cfRule>
  </conditionalFormatting>
  <conditionalFormatting sqref="L47">
    <cfRule type="cellIs" dxfId="51" priority="50" operator="greaterThanOrEqual">
      <formula>1</formula>
    </cfRule>
  </conditionalFormatting>
  <conditionalFormatting sqref="L47">
    <cfRule type="cellIs" dxfId="50" priority="48" operator="lessThan">
      <formula>0.01</formula>
    </cfRule>
    <cfRule type="cellIs" dxfId="49" priority="49" operator="greaterThanOrEqual">
      <formula>0.01</formula>
    </cfRule>
  </conditionalFormatting>
  <conditionalFormatting sqref="L58">
    <cfRule type="cellIs" dxfId="48" priority="44" operator="greaterThan">
      <formula>0.8</formula>
    </cfRule>
    <cfRule type="cellIs" dxfId="47" priority="46" operator="lessThan">
      <formula>0.6</formula>
    </cfRule>
  </conditionalFormatting>
  <conditionalFormatting sqref="L58">
    <cfRule type="cellIs" dxfId="46" priority="45" operator="between">
      <formula>0.61</formula>
      <formula>0.79</formula>
    </cfRule>
  </conditionalFormatting>
  <conditionalFormatting sqref="B57:K58">
    <cfRule type="cellIs" dxfId="45" priority="43" operator="greaterThanOrEqual">
      <formula>1</formula>
    </cfRule>
  </conditionalFormatting>
  <conditionalFormatting sqref="B58:L58 B57:K57">
    <cfRule type="cellIs" dxfId="44" priority="42" operator="greaterThanOrEqual">
      <formula>1</formula>
    </cfRule>
  </conditionalFormatting>
  <conditionalFormatting sqref="B58:L58">
    <cfRule type="cellIs" dxfId="43" priority="41" operator="lessThan">
      <formula>1</formula>
    </cfRule>
  </conditionalFormatting>
  <conditionalFormatting sqref="B57:K57">
    <cfRule type="cellIs" dxfId="42" priority="39" operator="lessThan">
      <formula>0.01</formula>
    </cfRule>
    <cfRule type="cellIs" dxfId="41" priority="40" operator="greaterThanOrEqual">
      <formula>0.01</formula>
    </cfRule>
  </conditionalFormatting>
  <conditionalFormatting sqref="L57">
    <cfRule type="cellIs" dxfId="40" priority="32" operator="greaterThanOrEqual">
      <formula>0.01</formula>
    </cfRule>
    <cfRule type="cellIs" dxfId="39" priority="36" operator="greaterThan">
      <formula>0.8</formula>
    </cfRule>
    <cfRule type="cellIs" dxfId="38" priority="38" operator="lessThan">
      <formula>0.6</formula>
    </cfRule>
  </conditionalFormatting>
  <conditionalFormatting sqref="L57">
    <cfRule type="cellIs" dxfId="37" priority="37" operator="between">
      <formula>0.61</formula>
      <formula>0.79</formula>
    </cfRule>
  </conditionalFormatting>
  <conditionalFormatting sqref="L57">
    <cfRule type="cellIs" dxfId="36" priority="35" operator="greaterThanOrEqual">
      <formula>1</formula>
    </cfRule>
  </conditionalFormatting>
  <conditionalFormatting sqref="L57">
    <cfRule type="cellIs" dxfId="35" priority="33" operator="lessThan">
      <formula>0.01</formula>
    </cfRule>
    <cfRule type="cellIs" dxfId="34" priority="34" operator="greaterThanOrEqual">
      <formula>0.01</formula>
    </cfRule>
  </conditionalFormatting>
  <conditionalFormatting sqref="L74">
    <cfRule type="cellIs" dxfId="33" priority="29" operator="greaterThan">
      <formula>0.8</formula>
    </cfRule>
    <cfRule type="cellIs" dxfId="32" priority="31" operator="lessThan">
      <formula>0.6</formula>
    </cfRule>
  </conditionalFormatting>
  <conditionalFormatting sqref="L74">
    <cfRule type="cellIs" dxfId="31" priority="30" operator="between">
      <formula>0.61</formula>
      <formula>0.79</formula>
    </cfRule>
  </conditionalFormatting>
  <conditionalFormatting sqref="B73:K74">
    <cfRule type="cellIs" dxfId="30" priority="28" operator="greaterThanOrEqual">
      <formula>1</formula>
    </cfRule>
  </conditionalFormatting>
  <conditionalFormatting sqref="B74:L74 B73:K73">
    <cfRule type="cellIs" dxfId="29" priority="27" operator="greaterThanOrEqual">
      <formula>1</formula>
    </cfRule>
  </conditionalFormatting>
  <conditionalFormatting sqref="B74:L74">
    <cfRule type="cellIs" dxfId="28" priority="26" operator="lessThan">
      <formula>1</formula>
    </cfRule>
  </conditionalFormatting>
  <conditionalFormatting sqref="B73:K73">
    <cfRule type="cellIs" dxfId="27" priority="24" operator="lessThan">
      <formula>0.01</formula>
    </cfRule>
    <cfRule type="cellIs" dxfId="26" priority="25" operator="greaterThanOrEqual">
      <formula>0.01</formula>
    </cfRule>
  </conditionalFormatting>
  <conditionalFormatting sqref="L73">
    <cfRule type="cellIs" dxfId="25" priority="17" operator="greaterThanOrEqual">
      <formula>0.01</formula>
    </cfRule>
    <cfRule type="cellIs" dxfId="24" priority="21" operator="greaterThan">
      <formula>0.8</formula>
    </cfRule>
    <cfRule type="cellIs" dxfId="23" priority="23" operator="lessThan">
      <formula>0.6</formula>
    </cfRule>
  </conditionalFormatting>
  <conditionalFormatting sqref="L73">
    <cfRule type="cellIs" dxfId="22" priority="22" operator="between">
      <formula>0.61</formula>
      <formula>0.79</formula>
    </cfRule>
  </conditionalFormatting>
  <conditionalFormatting sqref="L73">
    <cfRule type="cellIs" dxfId="21" priority="20" operator="greaterThanOrEqual">
      <formula>1</formula>
    </cfRule>
  </conditionalFormatting>
  <conditionalFormatting sqref="L73">
    <cfRule type="cellIs" dxfId="20" priority="18" operator="lessThan">
      <formula>0.01</formula>
    </cfRule>
    <cfRule type="cellIs" dxfId="19" priority="19" operator="greaterThanOrEqual">
      <formula>0.01</formula>
    </cfRule>
  </conditionalFormatting>
  <conditionalFormatting sqref="L9:L10">
    <cfRule type="cellIs" dxfId="18" priority="14" operator="greaterThan">
      <formula>0.8</formula>
    </cfRule>
    <cfRule type="cellIs" dxfId="17" priority="16" operator="lessThan">
      <formula>0.6</formula>
    </cfRule>
  </conditionalFormatting>
  <conditionalFormatting sqref="L9:L10">
    <cfRule type="cellIs" dxfId="16" priority="15" operator="between">
      <formula>0.61</formula>
      <formula>0.79</formula>
    </cfRule>
  </conditionalFormatting>
  <conditionalFormatting sqref="B9:K10">
    <cfRule type="cellIs" dxfId="15" priority="13" operator="greaterThanOrEqual">
      <formula>1</formula>
    </cfRule>
  </conditionalFormatting>
  <conditionalFormatting sqref="B9:L10">
    <cfRule type="cellIs" dxfId="14" priority="12" operator="greaterThanOrEqual">
      <formula>1</formula>
    </cfRule>
  </conditionalFormatting>
  <conditionalFormatting sqref="B10:L10">
    <cfRule type="cellIs" dxfId="13" priority="11" operator="lessThan">
      <formula>1</formula>
    </cfRule>
  </conditionalFormatting>
  <conditionalFormatting sqref="B9:L9">
    <cfRule type="cellIs" dxfId="12" priority="9" operator="lessThan">
      <formula>0.01</formula>
    </cfRule>
    <cfRule type="cellIs" dxfId="11" priority="10" operator="greaterThanOrEqual">
      <formula>0.01</formula>
    </cfRule>
  </conditionalFormatting>
  <conditionalFormatting sqref="L19:L20">
    <cfRule type="cellIs" dxfId="10" priority="6" operator="greaterThan">
      <formula>0.8</formula>
    </cfRule>
    <cfRule type="cellIs" dxfId="9" priority="8" operator="lessThan">
      <formula>0.6</formula>
    </cfRule>
  </conditionalFormatting>
  <conditionalFormatting sqref="L19:L20">
    <cfRule type="cellIs" dxfId="8" priority="7" operator="between">
      <formula>0.61</formula>
      <formula>0.79</formula>
    </cfRule>
  </conditionalFormatting>
  <conditionalFormatting sqref="B19:K20">
    <cfRule type="cellIs" dxfId="7" priority="5" operator="greaterThanOrEqual">
      <formula>1</formula>
    </cfRule>
  </conditionalFormatting>
  <conditionalFormatting sqref="B19:L20">
    <cfRule type="cellIs" dxfId="6" priority="4" operator="greaterThanOrEqual">
      <formula>1</formula>
    </cfRule>
  </conditionalFormatting>
  <conditionalFormatting sqref="B20:L20">
    <cfRule type="cellIs" dxfId="5" priority="3" operator="lessThan">
      <formula>1</formula>
    </cfRule>
  </conditionalFormatting>
  <conditionalFormatting sqref="B19:L19">
    <cfRule type="cellIs" dxfId="4" priority="1" operator="lessThan">
      <formula>0.01</formula>
    </cfRule>
    <cfRule type="cellIs" dxfId="3" priority="2" operator="greaterThanOrEqual">
      <formula>0.01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28EE2-A7D7-4E09-9AE1-C7033CC27957}">
  <sheetPr codeName="Hoja10">
    <tabColor rgb="FF00B0F0"/>
  </sheetPr>
  <dimension ref="A1:R122"/>
  <sheetViews>
    <sheetView topLeftCell="C1" zoomScale="85" zoomScaleNormal="85" workbookViewId="0">
      <pane ySplit="1" topLeftCell="A82" activePane="bottomLeft" state="frozen"/>
      <selection pane="bottomLeft" activeCell="H116" sqref="H116"/>
    </sheetView>
  </sheetViews>
  <sheetFormatPr baseColWidth="10" defaultColWidth="11.44140625" defaultRowHeight="14.4" x14ac:dyDescent="0.3"/>
  <cols>
    <col min="1" max="1" width="12" customWidth="1"/>
    <col min="2" max="2" width="12.88671875" style="27" bestFit="1" customWidth="1"/>
    <col min="3" max="3" width="13.5546875" style="27" customWidth="1"/>
    <col min="5" max="5" width="12.5546875" customWidth="1"/>
    <col min="6" max="6" width="11.88671875" bestFit="1" customWidth="1"/>
    <col min="9" max="9" width="17.5546875" customWidth="1"/>
    <col min="10" max="10" width="25.44140625" style="79" customWidth="1"/>
    <col min="11" max="11" width="22" style="14" bestFit="1" customWidth="1"/>
    <col min="12" max="12" width="26.33203125" style="14" customWidth="1"/>
    <col min="13" max="13" width="14.5546875" bestFit="1" customWidth="1"/>
    <col min="14" max="14" width="20.5546875" bestFit="1" customWidth="1"/>
    <col min="15" max="15" width="22" style="14" bestFit="1" customWidth="1"/>
    <col min="16" max="16" width="22.33203125" style="14" bestFit="1" customWidth="1"/>
  </cols>
  <sheetData>
    <row r="1" spans="1:16" x14ac:dyDescent="0.3">
      <c r="A1" s="25" t="s">
        <v>24</v>
      </c>
      <c r="B1" s="27" t="s">
        <v>1</v>
      </c>
      <c r="C1" s="27" t="s">
        <v>25</v>
      </c>
      <c r="D1" s="26" t="s">
        <v>9</v>
      </c>
      <c r="E1" s="27" t="s">
        <v>26</v>
      </c>
      <c r="F1" t="s">
        <v>27</v>
      </c>
      <c r="G1" t="s">
        <v>2</v>
      </c>
      <c r="H1" t="s">
        <v>3</v>
      </c>
      <c r="I1" t="s">
        <v>4</v>
      </c>
      <c r="J1" s="79" t="s">
        <v>5</v>
      </c>
      <c r="K1" s="14" t="s">
        <v>6</v>
      </c>
      <c r="L1" s="14" t="s">
        <v>7</v>
      </c>
      <c r="M1" t="s">
        <v>28</v>
      </c>
      <c r="N1" t="s">
        <v>30</v>
      </c>
      <c r="O1" s="14" t="s">
        <v>29</v>
      </c>
      <c r="P1" s="14" t="s">
        <v>31</v>
      </c>
    </row>
    <row r="2" spans="1:16" hidden="1" x14ac:dyDescent="0.3">
      <c r="A2" s="29" t="str">
        <f>'Modulo 102'!A1</f>
        <v>MÓDULO 102</v>
      </c>
      <c r="B2" s="28">
        <v>0.3125</v>
      </c>
      <c r="C2" s="27">
        <f>'Modulo 102'!L8</f>
        <v>6</v>
      </c>
      <c r="D2">
        <f>'Modulo 102'!L6</f>
        <v>46306004</v>
      </c>
      <c r="E2" t="str">
        <f>'Modulo 102'!L4</f>
        <v>Z1B000236</v>
      </c>
      <c r="F2" s="24">
        <f ca="1">TODAY()</f>
        <v>44886</v>
      </c>
    </row>
    <row r="3" spans="1:16" hidden="1" x14ac:dyDescent="0.3">
      <c r="A3" s="29" t="str">
        <f>A2</f>
        <v>MÓDULO 102</v>
      </c>
      <c r="B3" s="28">
        <v>0.35416666666666669</v>
      </c>
      <c r="C3" s="27">
        <f>'Modulo 102'!L8</f>
        <v>6</v>
      </c>
      <c r="D3">
        <f>'Modulo 102'!L6</f>
        <v>46306004</v>
      </c>
      <c r="E3" t="str">
        <f>'Modulo 102'!L4</f>
        <v>Z1B000236</v>
      </c>
      <c r="F3" s="24">
        <f t="shared" ref="F3:F66" ca="1" si="0">TODAY()</f>
        <v>44886</v>
      </c>
    </row>
    <row r="4" spans="1:16" hidden="1" x14ac:dyDescent="0.3">
      <c r="A4" s="29" t="str">
        <f t="shared" ref="A4:A11" si="1">A3</f>
        <v>MÓDULO 102</v>
      </c>
      <c r="B4" s="28">
        <v>0.39583333333333331</v>
      </c>
      <c r="C4" s="27">
        <f>'Modulo 102'!L8</f>
        <v>6</v>
      </c>
      <c r="D4">
        <f>'Modulo 102'!L6</f>
        <v>46306004</v>
      </c>
      <c r="E4" t="str">
        <f>'Modulo 102'!L4</f>
        <v>Z1B000236</v>
      </c>
      <c r="F4" s="24">
        <f t="shared" ca="1" si="0"/>
        <v>44886</v>
      </c>
      <c r="G4" s="26"/>
    </row>
    <row r="5" spans="1:16" hidden="1" x14ac:dyDescent="0.3">
      <c r="A5" s="29" t="str">
        <f t="shared" si="1"/>
        <v>MÓDULO 102</v>
      </c>
      <c r="B5" s="28">
        <v>0.4375</v>
      </c>
      <c r="C5" s="27">
        <f>'Modulo 102'!L8</f>
        <v>6</v>
      </c>
      <c r="D5">
        <f>'Modulo 102'!L6</f>
        <v>46306004</v>
      </c>
      <c r="E5" t="str">
        <f>'Modulo 102'!L4</f>
        <v>Z1B000236</v>
      </c>
      <c r="F5" s="24">
        <f t="shared" ca="1" si="0"/>
        <v>44886</v>
      </c>
    </row>
    <row r="6" spans="1:16" hidden="1" x14ac:dyDescent="0.3">
      <c r="A6" s="29" t="str">
        <f t="shared" si="1"/>
        <v>MÓDULO 102</v>
      </c>
      <c r="B6" s="28">
        <v>0.47916666666666669</v>
      </c>
      <c r="C6" s="27">
        <f>'Modulo 102'!L8</f>
        <v>6</v>
      </c>
      <c r="D6">
        <f>'Modulo 102'!L6</f>
        <v>46306004</v>
      </c>
      <c r="E6" t="str">
        <f>'Modulo 102'!L4</f>
        <v>Z1B000236</v>
      </c>
      <c r="F6" s="24">
        <f t="shared" ca="1" si="0"/>
        <v>44886</v>
      </c>
    </row>
    <row r="7" spans="1:16" hidden="1" x14ac:dyDescent="0.3">
      <c r="A7" s="29" t="str">
        <f t="shared" si="1"/>
        <v>MÓDULO 102</v>
      </c>
      <c r="B7" s="28">
        <v>0.52083333333333337</v>
      </c>
      <c r="C7" s="27">
        <f>'Modulo 102'!L8</f>
        <v>6</v>
      </c>
      <c r="D7">
        <f>'Modulo 102'!L6</f>
        <v>46306004</v>
      </c>
      <c r="E7" t="str">
        <f>'Modulo 102'!L4</f>
        <v>Z1B000236</v>
      </c>
      <c r="F7" s="24">
        <f t="shared" ca="1" si="0"/>
        <v>44886</v>
      </c>
    </row>
    <row r="8" spans="1:16" hidden="1" x14ac:dyDescent="0.3">
      <c r="A8" s="29" t="str">
        <f t="shared" si="1"/>
        <v>MÓDULO 102</v>
      </c>
      <c r="B8" s="28">
        <v>6.25E-2</v>
      </c>
      <c r="C8" s="27">
        <f>'Modulo 102'!L8</f>
        <v>6</v>
      </c>
      <c r="D8">
        <f>'Modulo 102'!L6</f>
        <v>46306004</v>
      </c>
      <c r="E8" t="str">
        <f>'Modulo 102'!L4</f>
        <v>Z1B000236</v>
      </c>
      <c r="F8" s="24">
        <f t="shared" ca="1" si="0"/>
        <v>44886</v>
      </c>
    </row>
    <row r="9" spans="1:16" hidden="1" x14ac:dyDescent="0.3">
      <c r="A9" s="29" t="str">
        <f t="shared" si="1"/>
        <v>MÓDULO 102</v>
      </c>
      <c r="B9" s="28">
        <v>0.10416666666666667</v>
      </c>
      <c r="C9" s="27">
        <f>'Modulo 102'!L8</f>
        <v>6</v>
      </c>
      <c r="D9">
        <f>'Modulo 102'!L6</f>
        <v>46306004</v>
      </c>
      <c r="E9" t="str">
        <f>'Modulo 102'!L4</f>
        <v>Z1B000236</v>
      </c>
      <c r="F9" s="24">
        <f t="shared" ca="1" si="0"/>
        <v>44886</v>
      </c>
    </row>
    <row r="10" spans="1:16" hidden="1" x14ac:dyDescent="0.3">
      <c r="A10" s="29" t="str">
        <f t="shared" si="1"/>
        <v>MÓDULO 102</v>
      </c>
      <c r="B10" s="28">
        <v>0.14583333333333334</v>
      </c>
      <c r="C10" s="27">
        <f>'Modulo 102'!L8</f>
        <v>6</v>
      </c>
      <c r="D10">
        <f>'Modulo 102'!L6</f>
        <v>46306004</v>
      </c>
      <c r="E10" t="str">
        <f>'Modulo 102'!L4</f>
        <v>Z1B000236</v>
      </c>
      <c r="F10" s="24">
        <f t="shared" ca="1" si="0"/>
        <v>44886</v>
      </c>
    </row>
    <row r="11" spans="1:16" hidden="1" x14ac:dyDescent="0.3">
      <c r="A11" s="29" t="str">
        <f t="shared" si="1"/>
        <v>MÓDULO 102</v>
      </c>
      <c r="B11" s="28">
        <v>0.1875</v>
      </c>
      <c r="C11" s="27">
        <f>'Modulo 102'!L8</f>
        <v>6</v>
      </c>
      <c r="D11">
        <f>'Modulo 102'!L6</f>
        <v>46306004</v>
      </c>
      <c r="E11" t="str">
        <f>'Modulo 102'!L4</f>
        <v>Z1B000236</v>
      </c>
      <c r="F11" s="24">
        <f t="shared" ca="1" si="0"/>
        <v>44886</v>
      </c>
    </row>
    <row r="12" spans="1:16" hidden="1" x14ac:dyDescent="0.3">
      <c r="A12" s="29" t="str">
        <f>'Modulo 103'!A1</f>
        <v>MÓDULO 103</v>
      </c>
      <c r="B12" s="28">
        <v>0.3125</v>
      </c>
      <c r="C12" s="27">
        <f>'Modulo 103'!L8</f>
        <v>6</v>
      </c>
      <c r="D12">
        <f>'Modulo 103'!L6</f>
        <v>46341005</v>
      </c>
      <c r="E12" t="str">
        <f>'Modulo 103'!L4</f>
        <v>Z1TOOO281</v>
      </c>
      <c r="F12" s="24">
        <f t="shared" ca="1" si="0"/>
        <v>44886</v>
      </c>
    </row>
    <row r="13" spans="1:16" hidden="1" x14ac:dyDescent="0.3">
      <c r="A13" s="29" t="str">
        <f>A12</f>
        <v>MÓDULO 103</v>
      </c>
      <c r="B13" s="28">
        <v>0.35416666666666669</v>
      </c>
      <c r="C13" s="27">
        <f>C12</f>
        <v>6</v>
      </c>
      <c r="D13">
        <f>D12</f>
        <v>46341005</v>
      </c>
      <c r="E13" t="str">
        <f>E12</f>
        <v>Z1TOOO281</v>
      </c>
      <c r="F13" s="24">
        <f t="shared" ca="1" si="0"/>
        <v>44886</v>
      </c>
    </row>
    <row r="14" spans="1:16" hidden="1" x14ac:dyDescent="0.3">
      <c r="A14" s="29" t="str">
        <f t="shared" ref="A14:A21" si="2">A13</f>
        <v>MÓDULO 103</v>
      </c>
      <c r="B14" s="28">
        <v>0.39583333333333331</v>
      </c>
      <c r="C14" s="27">
        <f t="shared" ref="C14:C21" si="3">C13</f>
        <v>6</v>
      </c>
      <c r="D14">
        <f t="shared" ref="D14:D21" si="4">D13</f>
        <v>46341005</v>
      </c>
      <c r="E14" t="str">
        <f t="shared" ref="E14:E21" si="5">E13</f>
        <v>Z1TOOO281</v>
      </c>
      <c r="F14" s="24">
        <f t="shared" ca="1" si="0"/>
        <v>44886</v>
      </c>
    </row>
    <row r="15" spans="1:16" hidden="1" x14ac:dyDescent="0.3">
      <c r="A15" s="29" t="str">
        <f t="shared" si="2"/>
        <v>MÓDULO 103</v>
      </c>
      <c r="B15" s="28">
        <v>0.4375</v>
      </c>
      <c r="C15" s="27">
        <f t="shared" si="3"/>
        <v>6</v>
      </c>
      <c r="D15">
        <f t="shared" si="4"/>
        <v>46341005</v>
      </c>
      <c r="E15" t="str">
        <f t="shared" si="5"/>
        <v>Z1TOOO281</v>
      </c>
      <c r="F15" s="24">
        <f t="shared" ca="1" si="0"/>
        <v>44886</v>
      </c>
    </row>
    <row r="16" spans="1:16" hidden="1" x14ac:dyDescent="0.3">
      <c r="A16" s="29" t="str">
        <f t="shared" si="2"/>
        <v>MÓDULO 103</v>
      </c>
      <c r="B16" s="28">
        <v>0.47916666666666669</v>
      </c>
      <c r="C16" s="27">
        <f t="shared" si="3"/>
        <v>6</v>
      </c>
      <c r="D16">
        <f t="shared" si="4"/>
        <v>46341005</v>
      </c>
      <c r="E16" t="str">
        <f t="shared" si="5"/>
        <v>Z1TOOO281</v>
      </c>
      <c r="F16" s="24">
        <f t="shared" ca="1" si="0"/>
        <v>44886</v>
      </c>
    </row>
    <row r="17" spans="1:18" hidden="1" x14ac:dyDescent="0.3">
      <c r="A17" s="29" t="str">
        <f t="shared" si="2"/>
        <v>MÓDULO 103</v>
      </c>
      <c r="B17" s="28">
        <v>0.52083333333333337</v>
      </c>
      <c r="C17" s="27">
        <f t="shared" si="3"/>
        <v>6</v>
      </c>
      <c r="D17">
        <f t="shared" si="4"/>
        <v>46341005</v>
      </c>
      <c r="E17" t="str">
        <f t="shared" si="5"/>
        <v>Z1TOOO281</v>
      </c>
      <c r="F17" s="24">
        <f t="shared" ca="1" si="0"/>
        <v>44886</v>
      </c>
    </row>
    <row r="18" spans="1:18" hidden="1" x14ac:dyDescent="0.3">
      <c r="A18" s="29" t="str">
        <f t="shared" si="2"/>
        <v>MÓDULO 103</v>
      </c>
      <c r="B18" s="28">
        <v>6.25E-2</v>
      </c>
      <c r="C18" s="27">
        <f t="shared" si="3"/>
        <v>6</v>
      </c>
      <c r="D18">
        <f t="shared" si="4"/>
        <v>46341005</v>
      </c>
      <c r="E18" t="str">
        <f t="shared" si="5"/>
        <v>Z1TOOO281</v>
      </c>
      <c r="F18" s="24">
        <f t="shared" ca="1" si="0"/>
        <v>44886</v>
      </c>
    </row>
    <row r="19" spans="1:18" hidden="1" x14ac:dyDescent="0.3">
      <c r="A19" s="29" t="str">
        <f t="shared" si="2"/>
        <v>MÓDULO 103</v>
      </c>
      <c r="B19" s="28">
        <v>0.10416666666666667</v>
      </c>
      <c r="C19" s="27">
        <f t="shared" si="3"/>
        <v>6</v>
      </c>
      <c r="D19">
        <f t="shared" si="4"/>
        <v>46341005</v>
      </c>
      <c r="E19" t="str">
        <f t="shared" si="5"/>
        <v>Z1TOOO281</v>
      </c>
      <c r="F19" s="24">
        <f t="shared" ca="1" si="0"/>
        <v>44886</v>
      </c>
    </row>
    <row r="20" spans="1:18" hidden="1" x14ac:dyDescent="0.3">
      <c r="A20" s="29" t="str">
        <f t="shared" si="2"/>
        <v>MÓDULO 103</v>
      </c>
      <c r="B20" s="28">
        <v>0.14583333333333334</v>
      </c>
      <c r="C20" s="27">
        <f t="shared" si="3"/>
        <v>6</v>
      </c>
      <c r="D20">
        <f t="shared" si="4"/>
        <v>46341005</v>
      </c>
      <c r="E20" t="str">
        <f t="shared" si="5"/>
        <v>Z1TOOO281</v>
      </c>
      <c r="F20" s="24">
        <f t="shared" ca="1" si="0"/>
        <v>44886</v>
      </c>
    </row>
    <row r="21" spans="1:18" hidden="1" x14ac:dyDescent="0.3">
      <c r="A21" s="29" t="str">
        <f t="shared" si="2"/>
        <v>MÓDULO 103</v>
      </c>
      <c r="B21" s="28">
        <v>0.1875</v>
      </c>
      <c r="C21" s="27">
        <f t="shared" si="3"/>
        <v>6</v>
      </c>
      <c r="D21">
        <f t="shared" si="4"/>
        <v>46341005</v>
      </c>
      <c r="E21" t="str">
        <f t="shared" si="5"/>
        <v>Z1TOOO281</v>
      </c>
      <c r="F21" s="24">
        <f t="shared" ca="1" si="0"/>
        <v>44886</v>
      </c>
    </row>
    <row r="22" spans="1:18" hidden="1" x14ac:dyDescent="0.3">
      <c r="A22" s="29" t="str">
        <f>'Modulo 105'!A1</f>
        <v>MÓDULO 105</v>
      </c>
      <c r="B22" s="28">
        <v>0.3125</v>
      </c>
      <c r="C22" s="27">
        <f>'Modulo 105'!L8</f>
        <v>9</v>
      </c>
      <c r="D22">
        <f>'Modulo 105'!L6</f>
        <v>0</v>
      </c>
      <c r="E22">
        <f>'Modulo 105'!L4</f>
        <v>0</v>
      </c>
      <c r="F22" s="24">
        <f t="shared" ca="1" si="0"/>
        <v>44886</v>
      </c>
    </row>
    <row r="23" spans="1:18" hidden="1" x14ac:dyDescent="0.3">
      <c r="A23" s="29" t="str">
        <f>A22</f>
        <v>MÓDULO 105</v>
      </c>
      <c r="B23" s="28">
        <v>0.35416666666666669</v>
      </c>
      <c r="C23" s="27">
        <f>C22</f>
        <v>9</v>
      </c>
      <c r="D23">
        <f>D22</f>
        <v>0</v>
      </c>
      <c r="E23">
        <f>E22</f>
        <v>0</v>
      </c>
      <c r="F23" s="24">
        <f t="shared" ca="1" si="0"/>
        <v>44886</v>
      </c>
    </row>
    <row r="24" spans="1:18" hidden="1" x14ac:dyDescent="0.3">
      <c r="A24" s="29" t="str">
        <f t="shared" ref="A24:A31" si="6">A23</f>
        <v>MÓDULO 105</v>
      </c>
      <c r="B24" s="28">
        <v>0.39583333333333331</v>
      </c>
      <c r="C24" s="27">
        <f t="shared" ref="C24:C31" si="7">C23</f>
        <v>9</v>
      </c>
      <c r="D24">
        <f t="shared" ref="D24:D31" si="8">D23</f>
        <v>0</v>
      </c>
      <c r="E24">
        <f t="shared" ref="E24:E31" si="9">E23</f>
        <v>0</v>
      </c>
      <c r="F24" s="24">
        <f t="shared" ca="1" si="0"/>
        <v>44886</v>
      </c>
    </row>
    <row r="25" spans="1:18" hidden="1" x14ac:dyDescent="0.3">
      <c r="A25" s="29" t="str">
        <f t="shared" si="6"/>
        <v>MÓDULO 105</v>
      </c>
      <c r="B25" s="28">
        <v>0.4375</v>
      </c>
      <c r="C25" s="27">
        <f t="shared" si="7"/>
        <v>9</v>
      </c>
      <c r="D25">
        <f t="shared" si="8"/>
        <v>0</v>
      </c>
      <c r="E25">
        <f t="shared" si="9"/>
        <v>0</v>
      </c>
      <c r="F25" s="24">
        <f t="shared" ca="1" si="0"/>
        <v>44886</v>
      </c>
    </row>
    <row r="26" spans="1:18" hidden="1" x14ac:dyDescent="0.3">
      <c r="A26" s="29" t="str">
        <f t="shared" si="6"/>
        <v>MÓDULO 105</v>
      </c>
      <c r="B26" s="28">
        <v>0.47916666666666669</v>
      </c>
      <c r="C26" s="27">
        <f t="shared" si="7"/>
        <v>9</v>
      </c>
      <c r="D26">
        <f t="shared" si="8"/>
        <v>0</v>
      </c>
      <c r="E26">
        <f t="shared" si="9"/>
        <v>0</v>
      </c>
      <c r="F26" s="24">
        <f t="shared" ca="1" si="0"/>
        <v>44886</v>
      </c>
    </row>
    <row r="27" spans="1:18" hidden="1" x14ac:dyDescent="0.3">
      <c r="A27" s="29" t="str">
        <f t="shared" si="6"/>
        <v>MÓDULO 105</v>
      </c>
      <c r="B27" s="28">
        <v>0.52083333333333337</v>
      </c>
      <c r="C27" s="27">
        <f t="shared" si="7"/>
        <v>9</v>
      </c>
      <c r="D27">
        <f t="shared" si="8"/>
        <v>0</v>
      </c>
      <c r="E27">
        <f t="shared" si="9"/>
        <v>0</v>
      </c>
      <c r="F27" s="24">
        <f t="shared" ca="1" si="0"/>
        <v>44886</v>
      </c>
    </row>
    <row r="28" spans="1:18" hidden="1" x14ac:dyDescent="0.3">
      <c r="A28" s="29" t="str">
        <f t="shared" si="6"/>
        <v>MÓDULO 105</v>
      </c>
      <c r="B28" s="28">
        <v>6.25E-2</v>
      </c>
      <c r="C28" s="27">
        <f t="shared" si="7"/>
        <v>9</v>
      </c>
      <c r="D28">
        <f t="shared" si="8"/>
        <v>0</v>
      </c>
      <c r="E28">
        <f t="shared" si="9"/>
        <v>0</v>
      </c>
      <c r="F28" s="24">
        <f t="shared" ca="1" si="0"/>
        <v>44886</v>
      </c>
    </row>
    <row r="29" spans="1:18" hidden="1" x14ac:dyDescent="0.3">
      <c r="A29" s="29" t="str">
        <f t="shared" si="6"/>
        <v>MÓDULO 105</v>
      </c>
      <c r="B29" s="28">
        <v>0.10416666666666667</v>
      </c>
      <c r="C29" s="27">
        <f t="shared" si="7"/>
        <v>9</v>
      </c>
      <c r="D29">
        <f t="shared" si="8"/>
        <v>0</v>
      </c>
      <c r="E29">
        <f t="shared" si="9"/>
        <v>0</v>
      </c>
      <c r="F29" s="24">
        <f t="shared" ca="1" si="0"/>
        <v>44886</v>
      </c>
    </row>
    <row r="30" spans="1:18" hidden="1" x14ac:dyDescent="0.3">
      <c r="A30" s="29" t="str">
        <f t="shared" si="6"/>
        <v>MÓDULO 105</v>
      </c>
      <c r="B30" s="28">
        <v>0.14583333333333334</v>
      </c>
      <c r="C30" s="27">
        <f t="shared" si="7"/>
        <v>9</v>
      </c>
      <c r="D30">
        <f t="shared" si="8"/>
        <v>0</v>
      </c>
      <c r="E30">
        <f t="shared" si="9"/>
        <v>0</v>
      </c>
      <c r="F30" s="24">
        <f t="shared" ca="1" si="0"/>
        <v>44886</v>
      </c>
    </row>
    <row r="31" spans="1:18" hidden="1" x14ac:dyDescent="0.3">
      <c r="A31" s="29" t="str">
        <f t="shared" si="6"/>
        <v>MÓDULO 105</v>
      </c>
      <c r="B31" s="28">
        <v>0.1875</v>
      </c>
      <c r="C31" s="27">
        <f t="shared" si="7"/>
        <v>9</v>
      </c>
      <c r="D31">
        <f t="shared" si="8"/>
        <v>0</v>
      </c>
      <c r="E31">
        <f t="shared" si="9"/>
        <v>0</v>
      </c>
      <c r="F31" s="24">
        <f t="shared" ca="1" si="0"/>
        <v>44886</v>
      </c>
    </row>
    <row r="32" spans="1:18" x14ac:dyDescent="0.3">
      <c r="A32" s="29" t="str">
        <f>'Modulo 106'!A1</f>
        <v>MÓDULO 106</v>
      </c>
      <c r="B32" s="28">
        <v>0.3125</v>
      </c>
      <c r="C32" s="27">
        <f>'Modulo 106'!L8</f>
        <v>8</v>
      </c>
      <c r="D32">
        <f>'Modulo 106'!L6</f>
        <v>46298006</v>
      </c>
      <c r="E32" t="str">
        <f>'Modulo 106'!L4</f>
        <v>Z1T000330</v>
      </c>
      <c r="F32" s="24">
        <f t="shared" ca="1" si="0"/>
        <v>44886</v>
      </c>
      <c r="G32" s="91">
        <v>20.833333333333336</v>
      </c>
      <c r="H32" s="90">
        <v>20.833333333333336</v>
      </c>
      <c r="I32">
        <v>11</v>
      </c>
      <c r="J32" s="79">
        <v>11</v>
      </c>
      <c r="K32" s="14">
        <v>0.52799999999999991</v>
      </c>
      <c r="L32" s="14">
        <v>0.52799999999999991</v>
      </c>
      <c r="N32">
        <v>0</v>
      </c>
      <c r="O32" s="14">
        <v>0</v>
      </c>
      <c r="P32" s="14">
        <v>0</v>
      </c>
      <c r="Q32">
        <v>0</v>
      </c>
      <c r="R32">
        <v>0</v>
      </c>
    </row>
    <row r="33" spans="1:18" x14ac:dyDescent="0.3">
      <c r="A33" s="29" t="str">
        <f>A32</f>
        <v>MÓDULO 106</v>
      </c>
      <c r="B33" s="28">
        <v>0.35416666666666669</v>
      </c>
      <c r="C33" s="27">
        <f>C32</f>
        <v>8</v>
      </c>
      <c r="D33">
        <f>D32</f>
        <v>46298006</v>
      </c>
      <c r="E33" t="str">
        <f>E32</f>
        <v>Z1T000330</v>
      </c>
      <c r="F33" s="24">
        <f t="shared" ca="1" si="0"/>
        <v>44886</v>
      </c>
      <c r="G33" s="90">
        <v>25</v>
      </c>
      <c r="H33" s="90">
        <v>45.833333333333336</v>
      </c>
      <c r="I33">
        <v>13</v>
      </c>
      <c r="J33" s="79">
        <v>24</v>
      </c>
      <c r="K33" s="14">
        <v>0.52</v>
      </c>
      <c r="L33" s="14">
        <v>0.52363636363636357</v>
      </c>
      <c r="N33">
        <v>0</v>
      </c>
      <c r="O33" s="14">
        <v>0</v>
      </c>
      <c r="P33" s="14" t="s">
        <v>35</v>
      </c>
      <c r="Q33">
        <v>0</v>
      </c>
      <c r="R33">
        <v>0</v>
      </c>
    </row>
    <row r="34" spans="1:18" x14ac:dyDescent="0.3">
      <c r="A34" s="29" t="str">
        <f t="shared" ref="A34:A41" si="10">A33</f>
        <v>MÓDULO 106</v>
      </c>
      <c r="B34" s="28">
        <v>0.39583333333333331</v>
      </c>
      <c r="C34" s="27">
        <f t="shared" ref="C34:C41" si="11">C33</f>
        <v>8</v>
      </c>
      <c r="D34">
        <f t="shared" ref="D34:D41" si="12">D33</f>
        <v>46298006</v>
      </c>
      <c r="E34" t="str">
        <f t="shared" ref="E34:E41" si="13">E33</f>
        <v>Z1T000330</v>
      </c>
      <c r="F34" s="24">
        <f t="shared" ca="1" si="0"/>
        <v>44886</v>
      </c>
      <c r="G34" s="90">
        <v>25</v>
      </c>
      <c r="H34" s="90">
        <v>70.833333333333343</v>
      </c>
      <c r="I34">
        <v>10</v>
      </c>
      <c r="J34" s="79">
        <v>34</v>
      </c>
      <c r="K34" s="14">
        <v>0.4</v>
      </c>
      <c r="L34" s="14">
        <v>0.47999999999999993</v>
      </c>
      <c r="N34">
        <v>0</v>
      </c>
      <c r="O34" s="14">
        <v>0</v>
      </c>
      <c r="P34" s="14" t="s">
        <v>35</v>
      </c>
      <c r="Q34">
        <v>0</v>
      </c>
      <c r="R34">
        <v>0</v>
      </c>
    </row>
    <row r="35" spans="1:18" x14ac:dyDescent="0.3">
      <c r="A35" s="29" t="str">
        <f t="shared" si="10"/>
        <v>MÓDULO 106</v>
      </c>
      <c r="B35" s="28">
        <v>0.4375</v>
      </c>
      <c r="C35" s="27">
        <f t="shared" si="11"/>
        <v>8</v>
      </c>
      <c r="D35">
        <f t="shared" si="12"/>
        <v>46298006</v>
      </c>
      <c r="E35" t="str">
        <f t="shared" si="13"/>
        <v>Z1T000330</v>
      </c>
      <c r="F35" s="24">
        <f t="shared" ca="1" si="0"/>
        <v>44886</v>
      </c>
      <c r="G35" s="90">
        <v>25</v>
      </c>
      <c r="H35" s="90">
        <v>95.833333333333343</v>
      </c>
      <c r="I35">
        <v>10</v>
      </c>
      <c r="J35" s="79">
        <v>44</v>
      </c>
      <c r="K35" s="14">
        <v>0.4</v>
      </c>
      <c r="L35" s="14">
        <v>0.45913043478260868</v>
      </c>
      <c r="N35">
        <v>0</v>
      </c>
      <c r="O35" s="14">
        <v>0</v>
      </c>
      <c r="P35" s="14" t="s">
        <v>35</v>
      </c>
      <c r="Q35">
        <v>0</v>
      </c>
      <c r="R35">
        <v>0</v>
      </c>
    </row>
    <row r="36" spans="1:18" x14ac:dyDescent="0.3">
      <c r="A36" s="29" t="str">
        <f t="shared" si="10"/>
        <v>MÓDULO 106</v>
      </c>
      <c r="B36" s="28">
        <v>0.47916666666666669</v>
      </c>
      <c r="C36" s="27">
        <f t="shared" si="11"/>
        <v>8</v>
      </c>
      <c r="D36">
        <f t="shared" si="12"/>
        <v>46298006</v>
      </c>
      <c r="E36" t="str">
        <f t="shared" si="13"/>
        <v>Z1T000330</v>
      </c>
      <c r="F36" s="24">
        <f t="shared" ca="1" si="0"/>
        <v>44886</v>
      </c>
      <c r="G36" s="90">
        <v>25</v>
      </c>
      <c r="H36" s="90">
        <v>120.83333333333334</v>
      </c>
      <c r="I36">
        <v>5</v>
      </c>
      <c r="J36" s="79">
        <v>49</v>
      </c>
      <c r="K36" s="14">
        <v>0.2</v>
      </c>
      <c r="L36" s="14">
        <v>0.40551724137931033</v>
      </c>
      <c r="N36">
        <v>0</v>
      </c>
      <c r="O36" s="14">
        <v>0</v>
      </c>
      <c r="P36" s="14" t="s">
        <v>35</v>
      </c>
      <c r="Q36">
        <v>0</v>
      </c>
      <c r="R36">
        <v>0</v>
      </c>
    </row>
    <row r="37" spans="1:18" x14ac:dyDescent="0.3">
      <c r="A37" s="29" t="str">
        <f t="shared" si="10"/>
        <v>MÓDULO 106</v>
      </c>
      <c r="B37" s="28">
        <v>0.52083333333333337</v>
      </c>
      <c r="C37" s="27">
        <f t="shared" si="11"/>
        <v>8</v>
      </c>
      <c r="D37">
        <f t="shared" si="12"/>
        <v>46298006</v>
      </c>
      <c r="E37" t="str">
        <f t="shared" si="13"/>
        <v>Z1T000330</v>
      </c>
      <c r="F37" s="24">
        <f t="shared" ca="1" si="0"/>
        <v>44886</v>
      </c>
      <c r="G37" s="90">
        <v>16.666666666666668</v>
      </c>
      <c r="H37" s="90" t="s">
        <v>35</v>
      </c>
      <c r="J37" s="79" t="s">
        <v>35</v>
      </c>
      <c r="K37" s="14">
        <v>0</v>
      </c>
      <c r="L37" s="14" t="s">
        <v>35</v>
      </c>
      <c r="N37">
        <v>0</v>
      </c>
      <c r="O37" s="14">
        <v>0</v>
      </c>
      <c r="P37" s="14" t="s">
        <v>35</v>
      </c>
      <c r="Q37">
        <v>0</v>
      </c>
      <c r="R37">
        <v>0</v>
      </c>
    </row>
    <row r="38" spans="1:18" x14ac:dyDescent="0.3">
      <c r="A38" s="29" t="str">
        <f t="shared" si="10"/>
        <v>MÓDULO 106</v>
      </c>
      <c r="B38" s="28">
        <v>6.25E-2</v>
      </c>
      <c r="C38" s="27">
        <f t="shared" si="11"/>
        <v>8</v>
      </c>
      <c r="D38">
        <f t="shared" si="12"/>
        <v>46298006</v>
      </c>
      <c r="E38" t="str">
        <f t="shared" si="13"/>
        <v>Z1T000330</v>
      </c>
      <c r="F38" s="24">
        <f t="shared" ca="1" si="0"/>
        <v>44886</v>
      </c>
      <c r="G38" s="90">
        <v>25</v>
      </c>
      <c r="H38" s="90" t="s">
        <v>35</v>
      </c>
      <c r="J38" s="79" t="s">
        <v>35</v>
      </c>
      <c r="K38" s="14">
        <v>0</v>
      </c>
      <c r="L38" s="14" t="s">
        <v>35</v>
      </c>
      <c r="N38">
        <v>0</v>
      </c>
      <c r="O38" s="14">
        <v>0</v>
      </c>
      <c r="P38" s="14" t="s">
        <v>35</v>
      </c>
      <c r="Q38">
        <v>0</v>
      </c>
      <c r="R38">
        <v>0</v>
      </c>
    </row>
    <row r="39" spans="1:18" x14ac:dyDescent="0.3">
      <c r="A39" s="29" t="str">
        <f t="shared" si="10"/>
        <v>MÓDULO 106</v>
      </c>
      <c r="B39" s="28">
        <v>0.10416666666666667</v>
      </c>
      <c r="C39" s="27">
        <f t="shared" si="11"/>
        <v>8</v>
      </c>
      <c r="D39">
        <f t="shared" si="12"/>
        <v>46298006</v>
      </c>
      <c r="E39" t="str">
        <f t="shared" si="13"/>
        <v>Z1T000330</v>
      </c>
      <c r="F39" s="24">
        <f t="shared" ca="1" si="0"/>
        <v>44886</v>
      </c>
      <c r="G39" s="90">
        <v>25</v>
      </c>
      <c r="H39" s="90" t="s">
        <v>35</v>
      </c>
      <c r="J39" s="79" t="s">
        <v>35</v>
      </c>
      <c r="K39" s="14">
        <v>0</v>
      </c>
      <c r="L39" s="14" t="s">
        <v>35</v>
      </c>
      <c r="N39">
        <v>0</v>
      </c>
      <c r="O39" s="14">
        <v>0</v>
      </c>
      <c r="P39" s="14" t="s">
        <v>35</v>
      </c>
      <c r="Q39">
        <v>0</v>
      </c>
      <c r="R39">
        <v>0</v>
      </c>
    </row>
    <row r="40" spans="1:18" x14ac:dyDescent="0.3">
      <c r="A40" s="29" t="str">
        <f t="shared" si="10"/>
        <v>MÓDULO 106</v>
      </c>
      <c r="B40" s="28">
        <v>0.14583333333333334</v>
      </c>
      <c r="C40" s="27">
        <f t="shared" si="11"/>
        <v>8</v>
      </c>
      <c r="D40">
        <f t="shared" si="12"/>
        <v>46298006</v>
      </c>
      <c r="E40" t="str">
        <f t="shared" si="13"/>
        <v>Z1T000330</v>
      </c>
      <c r="F40" s="24">
        <f t="shared" ca="1" si="0"/>
        <v>44886</v>
      </c>
      <c r="G40" s="90">
        <v>25</v>
      </c>
      <c r="H40" s="90" t="s">
        <v>35</v>
      </c>
      <c r="J40" s="79" t="s">
        <v>35</v>
      </c>
      <c r="K40" s="14">
        <v>0</v>
      </c>
      <c r="L40" s="14" t="s">
        <v>35</v>
      </c>
      <c r="N40">
        <v>0</v>
      </c>
      <c r="O40" s="14">
        <v>0</v>
      </c>
      <c r="P40" s="14" t="s">
        <v>35</v>
      </c>
      <c r="Q40">
        <v>0</v>
      </c>
      <c r="R40">
        <v>0</v>
      </c>
    </row>
    <row r="41" spans="1:18" x14ac:dyDescent="0.3">
      <c r="A41" s="29" t="str">
        <f t="shared" si="10"/>
        <v>MÓDULO 106</v>
      </c>
      <c r="B41" s="28">
        <v>0.1875</v>
      </c>
      <c r="C41" s="27">
        <f t="shared" si="11"/>
        <v>8</v>
      </c>
      <c r="D41">
        <f t="shared" si="12"/>
        <v>46298006</v>
      </c>
      <c r="E41" t="str">
        <f t="shared" si="13"/>
        <v>Z1T000330</v>
      </c>
      <c r="F41" s="24">
        <f t="shared" ca="1" si="0"/>
        <v>44886</v>
      </c>
      <c r="G41" s="90">
        <v>25</v>
      </c>
      <c r="H41" s="90" t="s">
        <v>35</v>
      </c>
      <c r="I41">
        <v>16.904027384524362</v>
      </c>
      <c r="J41" s="79">
        <v>16.904027384524362</v>
      </c>
      <c r="K41" s="14">
        <v>11</v>
      </c>
      <c r="L41" s="14">
        <v>11</v>
      </c>
      <c r="M41">
        <v>0.65073250000000005</v>
      </c>
      <c r="N41">
        <v>0.65073250000000005</v>
      </c>
      <c r="P41" s="14">
        <v>0</v>
      </c>
      <c r="Q41">
        <v>0</v>
      </c>
      <c r="R41">
        <v>0</v>
      </c>
    </row>
    <row r="42" spans="1:18" x14ac:dyDescent="0.3">
      <c r="A42" s="29" t="str">
        <f>'Modulo 110'!A1</f>
        <v>MÓDULO 110</v>
      </c>
      <c r="B42" s="28">
        <v>0.3125</v>
      </c>
      <c r="C42" s="27">
        <f>'Modulo 110'!L8</f>
        <v>5</v>
      </c>
      <c r="D42">
        <f>'Modulo 110'!L6</f>
        <v>46261002</v>
      </c>
      <c r="E42" t="str">
        <f>'Modulo 110'!L4</f>
        <v>L39L739TBE</v>
      </c>
      <c r="F42" s="24">
        <f t="shared" ca="1" si="0"/>
        <v>44886</v>
      </c>
      <c r="G42" s="90">
        <v>20.814253600865875</v>
      </c>
      <c r="H42" s="90">
        <v>20.814253600865875</v>
      </c>
      <c r="I42">
        <v>21</v>
      </c>
      <c r="J42" s="79">
        <v>21</v>
      </c>
      <c r="K42" s="14">
        <v>1.0089239999999999</v>
      </c>
      <c r="L42" s="14">
        <v>1.0089239999999999</v>
      </c>
      <c r="N42">
        <v>0</v>
      </c>
      <c r="O42" s="14">
        <v>0</v>
      </c>
      <c r="P42" s="14">
        <v>0</v>
      </c>
      <c r="Q42">
        <v>0</v>
      </c>
      <c r="R42" t="s">
        <v>35</v>
      </c>
    </row>
    <row r="43" spans="1:18" x14ac:dyDescent="0.3">
      <c r="A43" s="29" t="str">
        <f>A42</f>
        <v>MÓDULO 110</v>
      </c>
      <c r="B43" s="28">
        <v>0.35416666666666669</v>
      </c>
      <c r="C43" s="27">
        <f>C42</f>
        <v>5</v>
      </c>
      <c r="D43">
        <f>D42</f>
        <v>46261002</v>
      </c>
      <c r="E43" t="str">
        <f>E42</f>
        <v>L39L739TBE</v>
      </c>
      <c r="F43" s="24">
        <f t="shared" ca="1" si="0"/>
        <v>44886</v>
      </c>
      <c r="G43" s="90">
        <v>24.97710432103905</v>
      </c>
      <c r="H43" s="90">
        <v>45.791357921904925</v>
      </c>
      <c r="I43">
        <v>24</v>
      </c>
      <c r="J43" s="79">
        <v>45</v>
      </c>
      <c r="K43" s="14">
        <v>0.96087999999999985</v>
      </c>
      <c r="L43" s="14">
        <v>0.98271818181818171</v>
      </c>
      <c r="N43">
        <v>0</v>
      </c>
      <c r="O43" s="14">
        <v>0</v>
      </c>
      <c r="P43" s="14" t="s">
        <v>35</v>
      </c>
      <c r="Q43">
        <v>0</v>
      </c>
      <c r="R43" t="s">
        <v>35</v>
      </c>
    </row>
    <row r="44" spans="1:18" x14ac:dyDescent="0.3">
      <c r="A44" s="29" t="str">
        <f t="shared" ref="A44:A51" si="14">A43</f>
        <v>MÓDULO 110</v>
      </c>
      <c r="B44" s="28">
        <v>0.39583333333333331</v>
      </c>
      <c r="C44" s="27">
        <f t="shared" ref="C44:C51" si="15">C43</f>
        <v>5</v>
      </c>
      <c r="D44">
        <f t="shared" ref="D44:D51" si="16">D43</f>
        <v>46261002</v>
      </c>
      <c r="E44" t="str">
        <f t="shared" ref="E44:E51" si="17">E43</f>
        <v>L39L739TBE</v>
      </c>
      <c r="F44" s="24">
        <f t="shared" ca="1" si="0"/>
        <v>44886</v>
      </c>
      <c r="G44" s="90">
        <v>24.97710432103905</v>
      </c>
      <c r="H44" s="90">
        <v>70.768462242943968</v>
      </c>
      <c r="I44">
        <v>24</v>
      </c>
      <c r="J44" s="79">
        <v>69</v>
      </c>
      <c r="K44" s="14">
        <v>0.96087999999999985</v>
      </c>
      <c r="L44" s="14">
        <v>0.97501058823529407</v>
      </c>
      <c r="N44">
        <v>0</v>
      </c>
      <c r="O44" s="14">
        <v>0</v>
      </c>
      <c r="P44" s="14" t="s">
        <v>35</v>
      </c>
      <c r="Q44">
        <v>0</v>
      </c>
      <c r="R44" t="s">
        <v>35</v>
      </c>
    </row>
    <row r="45" spans="1:18" x14ac:dyDescent="0.3">
      <c r="A45" s="29" t="str">
        <f t="shared" si="14"/>
        <v>MÓDULO 110</v>
      </c>
      <c r="B45" s="28">
        <v>0.4375</v>
      </c>
      <c r="C45" s="27">
        <f t="shared" si="15"/>
        <v>5</v>
      </c>
      <c r="D45">
        <f t="shared" si="16"/>
        <v>46261002</v>
      </c>
      <c r="E45" t="str">
        <f t="shared" si="17"/>
        <v>L39L739TBE</v>
      </c>
      <c r="F45" s="24">
        <f t="shared" ca="1" si="0"/>
        <v>44886</v>
      </c>
      <c r="G45" s="90">
        <v>24.97710432103905</v>
      </c>
      <c r="H45" s="90">
        <v>95.745566563983019</v>
      </c>
      <c r="I45">
        <v>24</v>
      </c>
      <c r="J45" s="79">
        <v>93</v>
      </c>
      <c r="K45" s="14">
        <v>0.96087999999999985</v>
      </c>
      <c r="L45" s="14">
        <v>0.9713243478260869</v>
      </c>
      <c r="N45">
        <v>0</v>
      </c>
      <c r="O45" s="14">
        <v>0</v>
      </c>
      <c r="P45" s="14" t="s">
        <v>35</v>
      </c>
      <c r="Q45">
        <v>0</v>
      </c>
      <c r="R45" t="s">
        <v>35</v>
      </c>
    </row>
    <row r="46" spans="1:18" x14ac:dyDescent="0.3">
      <c r="A46" s="29" t="str">
        <f t="shared" si="14"/>
        <v>MÓDULO 110</v>
      </c>
      <c r="B46" s="28">
        <v>0.47916666666666669</v>
      </c>
      <c r="C46" s="27">
        <f t="shared" si="15"/>
        <v>5</v>
      </c>
      <c r="D46">
        <f t="shared" si="16"/>
        <v>46261002</v>
      </c>
      <c r="E46" t="str">
        <f t="shared" si="17"/>
        <v>L39L739TBE</v>
      </c>
      <c r="F46" s="24">
        <f t="shared" ca="1" si="0"/>
        <v>44886</v>
      </c>
      <c r="G46" s="90">
        <v>24.97710432103905</v>
      </c>
      <c r="H46" s="90">
        <v>120.72267088502207</v>
      </c>
      <c r="I46">
        <v>24</v>
      </c>
      <c r="J46" s="79">
        <v>117</v>
      </c>
      <c r="K46" s="14">
        <v>0.96087999999999985</v>
      </c>
      <c r="L46" s="14">
        <v>0.96916344827586198</v>
      </c>
      <c r="N46">
        <v>0</v>
      </c>
      <c r="O46" s="14">
        <v>0</v>
      </c>
      <c r="P46" s="14" t="s">
        <v>35</v>
      </c>
      <c r="Q46">
        <v>0</v>
      </c>
      <c r="R46" t="s">
        <v>35</v>
      </c>
    </row>
    <row r="47" spans="1:18" x14ac:dyDescent="0.3">
      <c r="A47" s="29" t="str">
        <f t="shared" si="14"/>
        <v>MÓDULO 110</v>
      </c>
      <c r="B47" s="28">
        <v>0.52083333333333337</v>
      </c>
      <c r="C47" s="27">
        <f t="shared" si="15"/>
        <v>5</v>
      </c>
      <c r="D47">
        <f t="shared" si="16"/>
        <v>46261002</v>
      </c>
      <c r="E47" t="str">
        <f t="shared" si="17"/>
        <v>L39L739TBE</v>
      </c>
      <c r="F47" s="24">
        <f t="shared" ca="1" si="0"/>
        <v>44886</v>
      </c>
      <c r="G47" s="90">
        <v>16.6514028806927</v>
      </c>
      <c r="H47" s="90">
        <v>137.37407376571477</v>
      </c>
      <c r="I47">
        <v>17</v>
      </c>
      <c r="J47" s="79">
        <v>134</v>
      </c>
      <c r="K47" s="14">
        <v>1.0209349999999999</v>
      </c>
      <c r="L47" s="14">
        <v>0.97543878787878779</v>
      </c>
      <c r="N47">
        <v>0</v>
      </c>
      <c r="O47" s="14">
        <v>0</v>
      </c>
      <c r="P47" s="14" t="s">
        <v>35</v>
      </c>
      <c r="Q47">
        <v>0</v>
      </c>
      <c r="R47" t="s">
        <v>35</v>
      </c>
    </row>
    <row r="48" spans="1:18" x14ac:dyDescent="0.3">
      <c r="A48" s="29" t="str">
        <f t="shared" si="14"/>
        <v>MÓDULO 110</v>
      </c>
      <c r="B48" s="28">
        <v>6.25E-2</v>
      </c>
      <c r="C48" s="27">
        <f t="shared" si="15"/>
        <v>5</v>
      </c>
      <c r="D48">
        <f t="shared" si="16"/>
        <v>46261002</v>
      </c>
      <c r="E48" t="str">
        <f t="shared" si="17"/>
        <v>L39L739TBE</v>
      </c>
      <c r="F48" s="24">
        <f t="shared" ca="1" si="0"/>
        <v>44886</v>
      </c>
      <c r="G48" s="90">
        <v>24.97710432103905</v>
      </c>
      <c r="H48" s="90">
        <v>162.35117808675381</v>
      </c>
      <c r="I48">
        <v>24</v>
      </c>
      <c r="J48" s="79">
        <v>158</v>
      </c>
      <c r="K48" s="14">
        <v>0.96087999999999985</v>
      </c>
      <c r="L48" s="14">
        <v>0.9731989743589744</v>
      </c>
      <c r="N48">
        <v>0</v>
      </c>
      <c r="O48" s="14">
        <v>0</v>
      </c>
      <c r="P48" s="14" t="s">
        <v>35</v>
      </c>
      <c r="Q48">
        <v>0</v>
      </c>
      <c r="R48" t="s">
        <v>35</v>
      </c>
    </row>
    <row r="49" spans="1:18" x14ac:dyDescent="0.3">
      <c r="A49" s="29" t="str">
        <f t="shared" si="14"/>
        <v>MÓDULO 110</v>
      </c>
      <c r="B49" s="28">
        <v>0.10416666666666667</v>
      </c>
      <c r="C49" s="27">
        <f t="shared" si="15"/>
        <v>5</v>
      </c>
      <c r="D49">
        <f t="shared" si="16"/>
        <v>46261002</v>
      </c>
      <c r="E49" t="str">
        <f t="shared" si="17"/>
        <v>L39L739TBE</v>
      </c>
      <c r="F49" s="24">
        <f t="shared" ca="1" si="0"/>
        <v>44886</v>
      </c>
      <c r="G49" s="90">
        <v>24.97710432103905</v>
      </c>
      <c r="H49" s="90">
        <v>187.32828240779287</v>
      </c>
      <c r="I49">
        <v>24</v>
      </c>
      <c r="J49" s="79">
        <v>182</v>
      </c>
      <c r="K49" s="14">
        <v>0.96087999999999985</v>
      </c>
      <c r="L49" s="14">
        <v>0.97155644444444433</v>
      </c>
      <c r="N49">
        <v>0</v>
      </c>
      <c r="O49" s="14">
        <v>0</v>
      </c>
      <c r="P49" s="14" t="s">
        <v>35</v>
      </c>
      <c r="Q49">
        <v>0</v>
      </c>
      <c r="R49" t="s">
        <v>35</v>
      </c>
    </row>
    <row r="50" spans="1:18" x14ac:dyDescent="0.3">
      <c r="A50" s="29" t="str">
        <f t="shared" si="14"/>
        <v>MÓDULO 110</v>
      </c>
      <c r="B50" s="28">
        <v>0.14583333333333334</v>
      </c>
      <c r="C50" s="27">
        <f t="shared" si="15"/>
        <v>5</v>
      </c>
      <c r="D50">
        <f t="shared" si="16"/>
        <v>46261002</v>
      </c>
      <c r="E50" t="str">
        <f t="shared" si="17"/>
        <v>L39L739TBE</v>
      </c>
      <c r="F50" s="24">
        <f t="shared" ca="1" si="0"/>
        <v>44886</v>
      </c>
      <c r="G50" s="90">
        <v>24.97710432103905</v>
      </c>
      <c r="H50" s="90">
        <v>212.30538672883193</v>
      </c>
      <c r="I50">
        <v>24</v>
      </c>
      <c r="J50" s="79">
        <v>206</v>
      </c>
      <c r="K50" s="14">
        <v>0.96087999999999985</v>
      </c>
      <c r="L50" s="14">
        <v>0.97030039215686259</v>
      </c>
      <c r="N50">
        <v>0</v>
      </c>
      <c r="O50" s="14">
        <v>0</v>
      </c>
      <c r="P50" s="14" t="s">
        <v>35</v>
      </c>
      <c r="Q50">
        <v>0</v>
      </c>
      <c r="R50" t="s">
        <v>35</v>
      </c>
    </row>
    <row r="51" spans="1:18" x14ac:dyDescent="0.3">
      <c r="A51" s="29" t="str">
        <f t="shared" si="14"/>
        <v>MÓDULO 110</v>
      </c>
      <c r="B51" s="28">
        <v>0.1875</v>
      </c>
      <c r="C51" s="27">
        <f t="shared" si="15"/>
        <v>5</v>
      </c>
      <c r="D51">
        <f t="shared" si="16"/>
        <v>46261002</v>
      </c>
      <c r="E51" t="str">
        <f t="shared" si="17"/>
        <v>L39L739TBE</v>
      </c>
      <c r="F51" s="24">
        <f t="shared" ca="1" si="0"/>
        <v>44886</v>
      </c>
      <c r="G51" s="90">
        <v>24.97710432103905</v>
      </c>
      <c r="H51" s="90">
        <v>237.282491049871</v>
      </c>
      <c r="I51">
        <v>24</v>
      </c>
      <c r="J51" s="79">
        <v>230</v>
      </c>
      <c r="K51" s="14">
        <v>0.96087999999999985</v>
      </c>
      <c r="L51" s="14">
        <v>0.96930877192982434</v>
      </c>
      <c r="N51">
        <v>0</v>
      </c>
      <c r="O51" s="14">
        <v>0</v>
      </c>
      <c r="P51" s="14" t="s">
        <v>35</v>
      </c>
    </row>
    <row r="52" spans="1:18" x14ac:dyDescent="0.3">
      <c r="A52" s="29" t="str">
        <f>'Modulo 118'!A1</f>
        <v>MÓDULO 118</v>
      </c>
      <c r="B52" s="28">
        <v>0.3125</v>
      </c>
      <c r="C52" s="27">
        <f>'Modulo 118'!L8</f>
        <v>7</v>
      </c>
      <c r="D52">
        <f>'Modulo 118'!L6</f>
        <v>0</v>
      </c>
      <c r="E52">
        <f>'Modulo 118'!L4</f>
        <v>29254</v>
      </c>
      <c r="F52" s="24">
        <f t="shared" ca="1" si="0"/>
        <v>44886</v>
      </c>
      <c r="G52" s="90">
        <v>21.997360316761988</v>
      </c>
      <c r="H52" s="90">
        <v>21.997360316761988</v>
      </c>
      <c r="I52">
        <v>18</v>
      </c>
      <c r="J52" s="79">
        <v>18</v>
      </c>
      <c r="K52" s="14">
        <v>0.81828000000000001</v>
      </c>
      <c r="L52" s="14">
        <v>0.81828000000000001</v>
      </c>
      <c r="N52">
        <v>0</v>
      </c>
      <c r="O52" s="14">
        <v>0</v>
      </c>
      <c r="P52" s="14">
        <v>0</v>
      </c>
    </row>
    <row r="53" spans="1:18" x14ac:dyDescent="0.3">
      <c r="A53" s="29" t="str">
        <f>A52</f>
        <v>MÓDULO 118</v>
      </c>
      <c r="B53" s="28">
        <v>0.35416666666666669</v>
      </c>
      <c r="C53" s="27">
        <f>C52</f>
        <v>7</v>
      </c>
      <c r="D53">
        <f>D52</f>
        <v>0</v>
      </c>
      <c r="E53">
        <f>E52</f>
        <v>29254</v>
      </c>
      <c r="F53" s="24">
        <f t="shared" ca="1" si="0"/>
        <v>44886</v>
      </c>
      <c r="G53" s="90">
        <v>26.396832380114386</v>
      </c>
      <c r="H53" s="90">
        <v>48.394192696876374</v>
      </c>
      <c r="I53">
        <v>22</v>
      </c>
      <c r="J53" s="79">
        <v>40</v>
      </c>
      <c r="K53" s="14">
        <v>0.83343333333333336</v>
      </c>
      <c r="L53" s="14">
        <v>0.82654545454545458</v>
      </c>
      <c r="N53">
        <v>0</v>
      </c>
      <c r="O53" s="14">
        <v>0</v>
      </c>
      <c r="P53" s="14" t="s">
        <v>35</v>
      </c>
    </row>
    <row r="54" spans="1:18" x14ac:dyDescent="0.3">
      <c r="A54" s="29" t="str">
        <f t="shared" ref="A54:A61" si="18">A53</f>
        <v>MÓDULO 118</v>
      </c>
      <c r="B54" s="28">
        <v>0.39583333333333331</v>
      </c>
      <c r="C54" s="27">
        <f t="shared" ref="C54:C61" si="19">C53</f>
        <v>7</v>
      </c>
      <c r="D54">
        <f t="shared" ref="D54:D61" si="20">D53</f>
        <v>0</v>
      </c>
      <c r="E54">
        <f t="shared" ref="E54:E61" si="21">E53</f>
        <v>29254</v>
      </c>
      <c r="F54" s="24">
        <f t="shared" ca="1" si="0"/>
        <v>44886</v>
      </c>
      <c r="G54" s="90">
        <v>26.396832380114386</v>
      </c>
      <c r="H54" s="90">
        <v>74.791025076990763</v>
      </c>
      <c r="I54">
        <v>22</v>
      </c>
      <c r="J54" s="79">
        <v>62</v>
      </c>
      <c r="K54" s="14">
        <v>0.83343333333333336</v>
      </c>
      <c r="L54" s="14">
        <v>0.82897647058823531</v>
      </c>
      <c r="N54">
        <v>0</v>
      </c>
      <c r="O54" s="14">
        <v>0</v>
      </c>
      <c r="P54" s="14" t="s">
        <v>35</v>
      </c>
    </row>
    <row r="55" spans="1:18" x14ac:dyDescent="0.3">
      <c r="A55" s="29" t="str">
        <f t="shared" si="18"/>
        <v>MÓDULO 118</v>
      </c>
      <c r="B55" s="28">
        <v>0.4375</v>
      </c>
      <c r="C55" s="27">
        <f t="shared" si="19"/>
        <v>7</v>
      </c>
      <c r="D55">
        <f t="shared" si="20"/>
        <v>0</v>
      </c>
      <c r="E55">
        <f t="shared" si="21"/>
        <v>29254</v>
      </c>
      <c r="F55" s="24">
        <f t="shared" ca="1" si="0"/>
        <v>44886</v>
      </c>
      <c r="G55" s="90">
        <v>26.396832380114386</v>
      </c>
      <c r="H55" s="90">
        <v>101.18785745710515</v>
      </c>
      <c r="I55">
        <v>22</v>
      </c>
      <c r="J55" s="79">
        <v>84</v>
      </c>
      <c r="K55" s="14">
        <v>0.83343333333333336</v>
      </c>
      <c r="L55" s="14">
        <v>0.8301391304347826</v>
      </c>
      <c r="N55">
        <v>0</v>
      </c>
      <c r="O55" s="14">
        <v>0</v>
      </c>
      <c r="P55" s="14" t="s">
        <v>35</v>
      </c>
    </row>
    <row r="56" spans="1:18" x14ac:dyDescent="0.3">
      <c r="A56" s="29" t="str">
        <f t="shared" si="18"/>
        <v>MÓDULO 118</v>
      </c>
      <c r="B56" s="28">
        <v>0.47916666666666669</v>
      </c>
      <c r="C56" s="27">
        <f t="shared" si="19"/>
        <v>7</v>
      </c>
      <c r="D56">
        <f t="shared" si="20"/>
        <v>0</v>
      </c>
      <c r="E56">
        <f t="shared" si="21"/>
        <v>29254</v>
      </c>
      <c r="F56" s="24">
        <f t="shared" ca="1" si="0"/>
        <v>44886</v>
      </c>
      <c r="G56" s="90">
        <v>26.396832380114386</v>
      </c>
      <c r="H56" s="90">
        <v>127.58468983721954</v>
      </c>
      <c r="I56">
        <v>22</v>
      </c>
      <c r="J56" s="79">
        <v>106</v>
      </c>
      <c r="K56" s="14">
        <v>0.83343333333333336</v>
      </c>
      <c r="L56" s="14">
        <v>0.83082068965517231</v>
      </c>
      <c r="N56">
        <v>0</v>
      </c>
      <c r="O56" s="14">
        <v>0</v>
      </c>
      <c r="P56" s="14" t="s">
        <v>35</v>
      </c>
    </row>
    <row r="57" spans="1:18" x14ac:dyDescent="0.3">
      <c r="A57" s="29" t="str">
        <f t="shared" si="18"/>
        <v>MÓDULO 118</v>
      </c>
      <c r="B57" s="28">
        <v>0.52083333333333337</v>
      </c>
      <c r="C57" s="27">
        <f t="shared" si="19"/>
        <v>7</v>
      </c>
      <c r="D57">
        <f t="shared" si="20"/>
        <v>0</v>
      </c>
      <c r="E57">
        <f t="shared" si="21"/>
        <v>29254</v>
      </c>
      <c r="F57" s="24">
        <f t="shared" ca="1" si="0"/>
        <v>44886</v>
      </c>
      <c r="G57" s="90">
        <v>17.597888253409593</v>
      </c>
      <c r="H57" s="90">
        <v>145.18257809062914</v>
      </c>
      <c r="I57">
        <v>17</v>
      </c>
      <c r="J57" s="79">
        <v>123</v>
      </c>
      <c r="K57" s="14">
        <v>0.96602499999999991</v>
      </c>
      <c r="L57" s="14">
        <v>0.8472090909090908</v>
      </c>
      <c r="N57">
        <v>0</v>
      </c>
      <c r="O57" s="14">
        <v>0</v>
      </c>
      <c r="P57" s="14" t="s">
        <v>35</v>
      </c>
    </row>
    <row r="58" spans="1:18" x14ac:dyDescent="0.3">
      <c r="A58" s="29" t="str">
        <f t="shared" si="18"/>
        <v>MÓDULO 118</v>
      </c>
      <c r="B58" s="28">
        <v>6.25E-2</v>
      </c>
      <c r="C58" s="27">
        <f t="shared" si="19"/>
        <v>7</v>
      </c>
      <c r="D58">
        <f t="shared" si="20"/>
        <v>0</v>
      </c>
      <c r="E58">
        <f t="shared" si="21"/>
        <v>29254</v>
      </c>
      <c r="F58" s="24">
        <f t="shared" ca="1" si="0"/>
        <v>44886</v>
      </c>
      <c r="G58" s="90">
        <v>26.396832380114386</v>
      </c>
      <c r="H58" s="90">
        <v>171.57941047074351</v>
      </c>
      <c r="I58">
        <v>22</v>
      </c>
      <c r="J58" s="79">
        <v>145</v>
      </c>
      <c r="K58" s="14">
        <v>0.83343333333333336</v>
      </c>
      <c r="L58" s="14">
        <v>0.84508974358974354</v>
      </c>
      <c r="N58">
        <v>0</v>
      </c>
      <c r="O58" s="14">
        <v>0</v>
      </c>
      <c r="P58" s="14" t="s">
        <v>35</v>
      </c>
    </row>
    <row r="59" spans="1:18" x14ac:dyDescent="0.3">
      <c r="A59" s="29" t="str">
        <f t="shared" si="18"/>
        <v>MÓDULO 118</v>
      </c>
      <c r="B59" s="28">
        <v>0.10416666666666667</v>
      </c>
      <c r="C59" s="27">
        <f t="shared" si="19"/>
        <v>7</v>
      </c>
      <c r="D59">
        <f t="shared" si="20"/>
        <v>0</v>
      </c>
      <c r="E59">
        <f t="shared" si="21"/>
        <v>29254</v>
      </c>
      <c r="F59" s="24">
        <f t="shared" ca="1" si="0"/>
        <v>44886</v>
      </c>
      <c r="G59" s="90">
        <v>26.396832380114386</v>
      </c>
      <c r="H59" s="90">
        <v>197.97624285085789</v>
      </c>
      <c r="I59">
        <v>22</v>
      </c>
      <c r="J59" s="79">
        <v>167</v>
      </c>
      <c r="K59" s="14">
        <v>0.83343333333333336</v>
      </c>
      <c r="L59" s="14">
        <v>0.84353555555555559</v>
      </c>
      <c r="N59">
        <v>0</v>
      </c>
      <c r="O59" s="14">
        <v>0</v>
      </c>
      <c r="P59" s="14" t="s">
        <v>35</v>
      </c>
    </row>
    <row r="60" spans="1:18" x14ac:dyDescent="0.3">
      <c r="A60" s="29" t="str">
        <f t="shared" si="18"/>
        <v>MÓDULO 118</v>
      </c>
      <c r="B60" s="28">
        <v>0.14583333333333334</v>
      </c>
      <c r="C60" s="27">
        <f t="shared" si="19"/>
        <v>7</v>
      </c>
      <c r="D60">
        <f t="shared" si="20"/>
        <v>0</v>
      </c>
      <c r="E60">
        <f t="shared" si="21"/>
        <v>29254</v>
      </c>
      <c r="F60" s="24">
        <f t="shared" ca="1" si="0"/>
        <v>44886</v>
      </c>
      <c r="G60" s="90">
        <v>26.396832380114386</v>
      </c>
      <c r="H60" s="90">
        <v>224.37307523097226</v>
      </c>
      <c r="I60">
        <v>22</v>
      </c>
      <c r="J60" s="79">
        <v>189</v>
      </c>
      <c r="K60" s="14">
        <v>0.83343333333333336</v>
      </c>
      <c r="L60" s="14">
        <v>0.84234705882352945</v>
      </c>
      <c r="N60">
        <v>0</v>
      </c>
      <c r="O60" s="14">
        <v>0</v>
      </c>
      <c r="P60" s="14" t="s">
        <v>35</v>
      </c>
    </row>
    <row r="61" spans="1:18" x14ac:dyDescent="0.3">
      <c r="A61" s="29" t="str">
        <f t="shared" si="18"/>
        <v>MÓDULO 118</v>
      </c>
      <c r="B61" s="28">
        <v>0.1875</v>
      </c>
      <c r="C61" s="27">
        <f t="shared" si="19"/>
        <v>7</v>
      </c>
      <c r="D61">
        <f t="shared" si="20"/>
        <v>0</v>
      </c>
      <c r="E61">
        <f t="shared" si="21"/>
        <v>29254</v>
      </c>
      <c r="F61" s="24">
        <f t="shared" ca="1" si="0"/>
        <v>44886</v>
      </c>
      <c r="G61" s="90">
        <v>26.396832380114386</v>
      </c>
      <c r="H61" s="90">
        <v>250.76990761108664</v>
      </c>
      <c r="I61">
        <v>22</v>
      </c>
      <c r="J61" s="79">
        <v>211</v>
      </c>
      <c r="K61" s="14">
        <v>0.83343333333333336</v>
      </c>
      <c r="L61" s="14">
        <v>0.84140877192982466</v>
      </c>
      <c r="N61">
        <v>0</v>
      </c>
      <c r="O61" s="14">
        <v>0</v>
      </c>
      <c r="P61" s="14" t="s">
        <v>35</v>
      </c>
    </row>
    <row r="62" spans="1:18" hidden="1" x14ac:dyDescent="0.3">
      <c r="A62" s="29" t="str">
        <f>'Modulo 200'!A1</f>
        <v>MÓDULO 200</v>
      </c>
      <c r="B62" s="28">
        <v>0.3125</v>
      </c>
      <c r="C62" s="27">
        <f>'Modulo 200'!L8</f>
        <v>7</v>
      </c>
      <c r="D62">
        <f>'Modulo 200'!L6</f>
        <v>0</v>
      </c>
      <c r="E62">
        <f>'Modulo 200'!L4</f>
        <v>27676</v>
      </c>
      <c r="F62" s="24">
        <f t="shared" ca="1" si="0"/>
        <v>44886</v>
      </c>
      <c r="G62" s="90"/>
      <c r="H62" s="90"/>
    </row>
    <row r="63" spans="1:18" hidden="1" x14ac:dyDescent="0.3">
      <c r="A63" s="29" t="str">
        <f>A62</f>
        <v>MÓDULO 200</v>
      </c>
      <c r="B63" s="28">
        <v>0.35416666666666669</v>
      </c>
      <c r="C63" s="27">
        <f>C62</f>
        <v>7</v>
      </c>
      <c r="D63">
        <f>D62</f>
        <v>0</v>
      </c>
      <c r="E63">
        <f>E62</f>
        <v>27676</v>
      </c>
      <c r="F63" s="24">
        <f t="shared" ca="1" si="0"/>
        <v>44886</v>
      </c>
      <c r="G63" s="90"/>
      <c r="H63" s="90"/>
    </row>
    <row r="64" spans="1:18" hidden="1" x14ac:dyDescent="0.3">
      <c r="A64" s="29" t="str">
        <f t="shared" ref="A64:A71" si="22">A63</f>
        <v>MÓDULO 200</v>
      </c>
      <c r="B64" s="28">
        <v>0.39583333333333331</v>
      </c>
      <c r="C64" s="27">
        <f t="shared" ref="C64:C71" si="23">C63</f>
        <v>7</v>
      </c>
      <c r="D64">
        <f t="shared" ref="D64:D71" si="24">D63</f>
        <v>0</v>
      </c>
      <c r="E64">
        <f t="shared" ref="E64:E71" si="25">E63</f>
        <v>27676</v>
      </c>
      <c r="F64" s="24">
        <f t="shared" ca="1" si="0"/>
        <v>44886</v>
      </c>
      <c r="G64" s="90"/>
      <c r="H64" s="90"/>
    </row>
    <row r="65" spans="1:18" hidden="1" x14ac:dyDescent="0.3">
      <c r="A65" s="29" t="str">
        <f t="shared" si="22"/>
        <v>MÓDULO 200</v>
      </c>
      <c r="B65" s="28">
        <v>0.4375</v>
      </c>
      <c r="C65" s="27">
        <f t="shared" si="23"/>
        <v>7</v>
      </c>
      <c r="D65">
        <f t="shared" si="24"/>
        <v>0</v>
      </c>
      <c r="E65">
        <f t="shared" si="25"/>
        <v>27676</v>
      </c>
      <c r="F65" s="24">
        <f t="shared" ca="1" si="0"/>
        <v>44886</v>
      </c>
      <c r="G65" s="90"/>
      <c r="H65" s="90"/>
    </row>
    <row r="66" spans="1:18" hidden="1" x14ac:dyDescent="0.3">
      <c r="A66" s="29" t="str">
        <f t="shared" si="22"/>
        <v>MÓDULO 200</v>
      </c>
      <c r="B66" s="28">
        <v>0.47916666666666669</v>
      </c>
      <c r="C66" s="27">
        <f t="shared" si="23"/>
        <v>7</v>
      </c>
      <c r="D66">
        <f t="shared" si="24"/>
        <v>0</v>
      </c>
      <c r="E66">
        <f t="shared" si="25"/>
        <v>27676</v>
      </c>
      <c r="F66" s="24">
        <f t="shared" ca="1" si="0"/>
        <v>44886</v>
      </c>
      <c r="G66" s="90"/>
      <c r="H66" s="90"/>
    </row>
    <row r="67" spans="1:18" hidden="1" x14ac:dyDescent="0.3">
      <c r="A67" s="29" t="str">
        <f t="shared" si="22"/>
        <v>MÓDULO 200</v>
      </c>
      <c r="B67" s="28">
        <v>0.52083333333333337</v>
      </c>
      <c r="C67" s="27">
        <f t="shared" si="23"/>
        <v>7</v>
      </c>
      <c r="D67">
        <f t="shared" si="24"/>
        <v>0</v>
      </c>
      <c r="E67">
        <f t="shared" si="25"/>
        <v>27676</v>
      </c>
      <c r="F67" s="24">
        <f t="shared" ref="F67:F75" ca="1" si="26">TODAY()</f>
        <v>44886</v>
      </c>
      <c r="G67" s="90"/>
      <c r="H67" s="90"/>
    </row>
    <row r="68" spans="1:18" hidden="1" x14ac:dyDescent="0.3">
      <c r="A68" s="29" t="str">
        <f t="shared" si="22"/>
        <v>MÓDULO 200</v>
      </c>
      <c r="B68" s="28">
        <v>6.25E-2</v>
      </c>
      <c r="C68" s="27">
        <f t="shared" si="23"/>
        <v>7</v>
      </c>
      <c r="D68">
        <f t="shared" si="24"/>
        <v>0</v>
      </c>
      <c r="E68">
        <f t="shared" si="25"/>
        <v>27676</v>
      </c>
      <c r="F68" s="24">
        <f t="shared" ca="1" si="26"/>
        <v>44886</v>
      </c>
      <c r="G68" s="90"/>
      <c r="H68" s="90"/>
    </row>
    <row r="69" spans="1:18" hidden="1" x14ac:dyDescent="0.3">
      <c r="A69" s="29" t="str">
        <f t="shared" si="22"/>
        <v>MÓDULO 200</v>
      </c>
      <c r="B69" s="28">
        <v>0.10416666666666667</v>
      </c>
      <c r="C69" s="27">
        <f t="shared" si="23"/>
        <v>7</v>
      </c>
      <c r="D69">
        <f t="shared" si="24"/>
        <v>0</v>
      </c>
      <c r="E69">
        <f t="shared" si="25"/>
        <v>27676</v>
      </c>
      <c r="F69" s="24">
        <f t="shared" ca="1" si="26"/>
        <v>44886</v>
      </c>
      <c r="G69" s="90"/>
      <c r="H69" s="90"/>
    </row>
    <row r="70" spans="1:18" hidden="1" x14ac:dyDescent="0.3">
      <c r="A70" s="29" t="str">
        <f t="shared" si="22"/>
        <v>MÓDULO 200</v>
      </c>
      <c r="B70" s="28">
        <v>0.14583333333333334</v>
      </c>
      <c r="C70" s="27">
        <f t="shared" si="23"/>
        <v>7</v>
      </c>
      <c r="D70">
        <f t="shared" si="24"/>
        <v>0</v>
      </c>
      <c r="E70">
        <f t="shared" si="25"/>
        <v>27676</v>
      </c>
      <c r="F70" s="24">
        <f t="shared" ca="1" si="26"/>
        <v>44886</v>
      </c>
      <c r="G70" s="90"/>
      <c r="H70" s="90"/>
    </row>
    <row r="71" spans="1:18" hidden="1" x14ac:dyDescent="0.3">
      <c r="A71" s="29" t="str">
        <f t="shared" si="22"/>
        <v>MÓDULO 200</v>
      </c>
      <c r="B71" s="28">
        <v>0.1875</v>
      </c>
      <c r="C71" s="27">
        <f t="shared" si="23"/>
        <v>7</v>
      </c>
      <c r="D71">
        <f t="shared" si="24"/>
        <v>0</v>
      </c>
      <c r="E71">
        <f t="shared" si="25"/>
        <v>27676</v>
      </c>
      <c r="F71" s="24">
        <f t="shared" ca="1" si="26"/>
        <v>44886</v>
      </c>
      <c r="G71" s="90"/>
      <c r="H71" s="90"/>
    </row>
    <row r="72" spans="1:18" x14ac:dyDescent="0.3">
      <c r="A72" s="29" t="s">
        <v>32</v>
      </c>
      <c r="B72" s="28">
        <v>0.3125</v>
      </c>
      <c r="C72" s="27">
        <v>5</v>
      </c>
      <c r="D72">
        <v>46353001</v>
      </c>
      <c r="E72">
        <v>30467</v>
      </c>
      <c r="F72" s="24">
        <f t="shared" ca="1" si="26"/>
        <v>44886</v>
      </c>
      <c r="G72" s="90"/>
      <c r="H72" s="90"/>
    </row>
    <row r="73" spans="1:18" x14ac:dyDescent="0.3">
      <c r="A73" s="29" t="s">
        <v>32</v>
      </c>
      <c r="B73" s="28">
        <v>0.35416666666666669</v>
      </c>
      <c r="C73" s="27">
        <v>5</v>
      </c>
      <c r="D73">
        <v>46353001</v>
      </c>
      <c r="E73">
        <f>E72</f>
        <v>30467</v>
      </c>
      <c r="F73" s="24">
        <f t="shared" ca="1" si="26"/>
        <v>44886</v>
      </c>
      <c r="G73" s="90"/>
      <c r="H73" s="90"/>
    </row>
    <row r="74" spans="1:18" x14ac:dyDescent="0.3">
      <c r="A74" s="29" t="s">
        <v>32</v>
      </c>
      <c r="B74" s="28">
        <v>0.39583333333333331</v>
      </c>
      <c r="C74" s="27">
        <v>5</v>
      </c>
      <c r="D74">
        <v>46353001</v>
      </c>
      <c r="E74">
        <f t="shared" ref="E74:E75" si="27">E73</f>
        <v>30467</v>
      </c>
      <c r="F74" s="24">
        <f t="shared" ca="1" si="26"/>
        <v>44886</v>
      </c>
      <c r="G74" s="90"/>
      <c r="H74" s="90"/>
    </row>
    <row r="75" spans="1:18" x14ac:dyDescent="0.3">
      <c r="A75" s="29" t="s">
        <v>32</v>
      </c>
      <c r="B75" s="28">
        <v>0.4375</v>
      </c>
      <c r="C75" s="27">
        <v>5</v>
      </c>
      <c r="D75">
        <v>46353001</v>
      </c>
      <c r="E75">
        <f t="shared" si="27"/>
        <v>30467</v>
      </c>
      <c r="F75" s="24">
        <f t="shared" ca="1" si="26"/>
        <v>44886</v>
      </c>
      <c r="G75" s="90"/>
      <c r="H75" s="90"/>
    </row>
    <row r="76" spans="1:18" x14ac:dyDescent="0.3">
      <c r="A76" s="29"/>
      <c r="B76" s="28"/>
    </row>
    <row r="78" spans="1:18" x14ac:dyDescent="0.3">
      <c r="C78" s="27" t="s">
        <v>36</v>
      </c>
    </row>
    <row r="79" spans="1:18" x14ac:dyDescent="0.3">
      <c r="C79" s="27">
        <v>8</v>
      </c>
      <c r="D79">
        <v>46476004</v>
      </c>
      <c r="E79">
        <v>31214</v>
      </c>
      <c r="F79" s="24">
        <v>44860</v>
      </c>
      <c r="G79" s="91">
        <v>20.833333333333336</v>
      </c>
      <c r="H79" s="90">
        <v>20.833333333333336</v>
      </c>
      <c r="I79">
        <v>11</v>
      </c>
      <c r="J79" s="79">
        <v>11</v>
      </c>
      <c r="K79" s="14">
        <v>0.52799999999999991</v>
      </c>
      <c r="L79" s="14">
        <v>0.52799999999999991</v>
      </c>
      <c r="N79">
        <v>0</v>
      </c>
      <c r="O79" s="14">
        <v>0</v>
      </c>
      <c r="P79" s="14">
        <v>0</v>
      </c>
      <c r="Q79">
        <v>0</v>
      </c>
      <c r="R79">
        <v>0</v>
      </c>
    </row>
    <row r="80" spans="1:18" x14ac:dyDescent="0.3">
      <c r="C80" s="27">
        <v>8</v>
      </c>
      <c r="D80">
        <v>46476004</v>
      </c>
      <c r="E80">
        <v>31214</v>
      </c>
      <c r="F80" s="24">
        <v>44860</v>
      </c>
      <c r="G80" s="90">
        <v>25</v>
      </c>
      <c r="H80" s="90">
        <v>45.833333333333336</v>
      </c>
      <c r="I80">
        <v>13</v>
      </c>
      <c r="J80" s="79">
        <v>24</v>
      </c>
      <c r="K80" s="14">
        <v>0.52</v>
      </c>
      <c r="L80" s="14">
        <v>0.52363636363636357</v>
      </c>
      <c r="N80">
        <v>0</v>
      </c>
      <c r="O80" s="14">
        <v>0</v>
      </c>
      <c r="P80" s="14" t="s">
        <v>35</v>
      </c>
      <c r="Q80">
        <v>0</v>
      </c>
      <c r="R80">
        <v>0</v>
      </c>
    </row>
    <row r="81" spans="3:18" x14ac:dyDescent="0.3">
      <c r="C81" s="27">
        <v>8</v>
      </c>
      <c r="D81">
        <v>46476004</v>
      </c>
      <c r="E81">
        <v>31214</v>
      </c>
      <c r="F81" s="24">
        <v>44860</v>
      </c>
      <c r="G81" s="90">
        <v>25</v>
      </c>
      <c r="H81" s="90">
        <v>70.833333333333343</v>
      </c>
      <c r="I81">
        <v>10</v>
      </c>
      <c r="J81" s="79">
        <v>34</v>
      </c>
      <c r="K81" s="14">
        <v>0.4</v>
      </c>
      <c r="L81" s="14">
        <v>0.47999999999999993</v>
      </c>
      <c r="N81">
        <v>0</v>
      </c>
      <c r="O81" s="14">
        <v>0</v>
      </c>
      <c r="P81" s="14" t="s">
        <v>35</v>
      </c>
      <c r="Q81">
        <v>0</v>
      </c>
      <c r="R81">
        <v>0</v>
      </c>
    </row>
    <row r="82" spans="3:18" x14ac:dyDescent="0.3">
      <c r="C82" s="27">
        <v>8</v>
      </c>
      <c r="D82">
        <v>46476004</v>
      </c>
      <c r="E82">
        <v>31214</v>
      </c>
      <c r="F82" s="24">
        <v>44860</v>
      </c>
      <c r="G82" s="90">
        <v>25</v>
      </c>
      <c r="H82" s="90">
        <v>95.833333333333343</v>
      </c>
      <c r="I82">
        <v>10</v>
      </c>
      <c r="J82" s="79">
        <v>44</v>
      </c>
      <c r="K82" s="14">
        <v>0.4</v>
      </c>
      <c r="L82" s="14">
        <v>0.45913043478260868</v>
      </c>
      <c r="N82">
        <v>0</v>
      </c>
      <c r="O82" s="14">
        <v>0</v>
      </c>
      <c r="P82" s="14" t="s">
        <v>35</v>
      </c>
      <c r="Q82">
        <v>0</v>
      </c>
      <c r="R82">
        <v>0</v>
      </c>
    </row>
    <row r="83" spans="3:18" x14ac:dyDescent="0.3">
      <c r="C83" s="27">
        <v>8</v>
      </c>
      <c r="D83">
        <v>46476004</v>
      </c>
      <c r="E83">
        <v>31214</v>
      </c>
      <c r="F83" s="24">
        <v>44860</v>
      </c>
      <c r="G83" s="90">
        <v>25</v>
      </c>
      <c r="H83" s="90">
        <v>120.83333333333334</v>
      </c>
      <c r="I83">
        <v>5</v>
      </c>
      <c r="J83" s="79">
        <v>49</v>
      </c>
      <c r="K83" s="14">
        <v>0.2</v>
      </c>
      <c r="L83" s="14">
        <v>0.40551724137931033</v>
      </c>
      <c r="N83">
        <v>0</v>
      </c>
      <c r="O83" s="14">
        <v>0</v>
      </c>
      <c r="P83" s="14" t="s">
        <v>35</v>
      </c>
      <c r="Q83">
        <v>0</v>
      </c>
      <c r="R83">
        <v>0</v>
      </c>
    </row>
    <row r="84" spans="3:18" x14ac:dyDescent="0.3">
      <c r="C84" s="27">
        <v>8</v>
      </c>
      <c r="D84">
        <v>46476004</v>
      </c>
      <c r="E84">
        <v>31214</v>
      </c>
      <c r="F84" s="24">
        <v>44860</v>
      </c>
      <c r="G84" s="90">
        <v>16.666666666666668</v>
      </c>
      <c r="H84" s="90" t="s">
        <v>35</v>
      </c>
      <c r="J84" s="79" t="s">
        <v>35</v>
      </c>
      <c r="K84" s="14">
        <v>0</v>
      </c>
      <c r="L84" s="14" t="s">
        <v>35</v>
      </c>
      <c r="N84">
        <v>0</v>
      </c>
      <c r="O84" s="14">
        <v>0</v>
      </c>
      <c r="P84" s="14" t="s">
        <v>35</v>
      </c>
      <c r="Q84">
        <v>0</v>
      </c>
      <c r="R84">
        <v>0</v>
      </c>
    </row>
    <row r="85" spans="3:18" x14ac:dyDescent="0.3">
      <c r="C85" s="27">
        <v>8</v>
      </c>
      <c r="D85">
        <v>46476004</v>
      </c>
      <c r="E85">
        <v>31214</v>
      </c>
      <c r="F85" s="24">
        <v>44860</v>
      </c>
      <c r="G85" s="90">
        <v>25</v>
      </c>
      <c r="H85" s="90" t="s">
        <v>35</v>
      </c>
      <c r="J85" s="79" t="s">
        <v>35</v>
      </c>
      <c r="K85" s="14">
        <v>0</v>
      </c>
      <c r="L85" s="14" t="s">
        <v>35</v>
      </c>
      <c r="N85">
        <v>0</v>
      </c>
      <c r="O85" s="14">
        <v>0</v>
      </c>
      <c r="P85" s="14" t="s">
        <v>35</v>
      </c>
      <c r="Q85">
        <v>0</v>
      </c>
      <c r="R85">
        <v>0</v>
      </c>
    </row>
    <row r="86" spans="3:18" x14ac:dyDescent="0.3">
      <c r="C86" s="27">
        <v>8</v>
      </c>
      <c r="D86">
        <v>46476004</v>
      </c>
      <c r="E86">
        <v>31214</v>
      </c>
      <c r="F86" s="24">
        <v>44860</v>
      </c>
      <c r="G86" s="90">
        <v>25</v>
      </c>
      <c r="H86" s="90" t="s">
        <v>35</v>
      </c>
      <c r="J86" s="79" t="s">
        <v>35</v>
      </c>
      <c r="K86" s="14">
        <v>0</v>
      </c>
      <c r="L86" s="14" t="s">
        <v>35</v>
      </c>
      <c r="N86">
        <v>0</v>
      </c>
      <c r="O86" s="14">
        <v>0</v>
      </c>
      <c r="P86" s="14" t="s">
        <v>35</v>
      </c>
      <c r="Q86">
        <v>0</v>
      </c>
      <c r="R86">
        <v>0</v>
      </c>
    </row>
    <row r="87" spans="3:18" x14ac:dyDescent="0.3">
      <c r="C87" s="27">
        <v>8</v>
      </c>
      <c r="D87">
        <v>46476004</v>
      </c>
      <c r="E87">
        <v>31214</v>
      </c>
      <c r="F87" s="24">
        <v>44860</v>
      </c>
      <c r="G87" s="90">
        <v>25</v>
      </c>
      <c r="H87" s="90" t="s">
        <v>35</v>
      </c>
      <c r="J87" s="79" t="s">
        <v>35</v>
      </c>
      <c r="K87" s="14">
        <v>0</v>
      </c>
      <c r="L87" s="14" t="s">
        <v>35</v>
      </c>
      <c r="N87">
        <v>0</v>
      </c>
      <c r="O87" s="14">
        <v>0</v>
      </c>
      <c r="P87" s="14" t="s">
        <v>35</v>
      </c>
      <c r="Q87">
        <v>0</v>
      </c>
      <c r="R87">
        <v>0</v>
      </c>
    </row>
    <row r="88" spans="3:18" x14ac:dyDescent="0.3">
      <c r="C88" s="27">
        <v>8</v>
      </c>
      <c r="D88">
        <v>46476004</v>
      </c>
      <c r="E88">
        <v>31214</v>
      </c>
      <c r="F88" s="24">
        <v>44860</v>
      </c>
      <c r="G88" s="90">
        <v>25</v>
      </c>
      <c r="H88" s="90" t="s">
        <v>35</v>
      </c>
      <c r="I88">
        <v>16.904027384524362</v>
      </c>
      <c r="J88" s="79">
        <v>16.904027384524362</v>
      </c>
      <c r="K88" s="14">
        <v>11</v>
      </c>
      <c r="L88" s="14">
        <v>11</v>
      </c>
      <c r="M88">
        <v>0.65073250000000005</v>
      </c>
      <c r="N88">
        <v>0.65073250000000005</v>
      </c>
      <c r="P88" s="14">
        <v>0</v>
      </c>
      <c r="Q88">
        <v>0</v>
      </c>
      <c r="R88">
        <v>0</v>
      </c>
    </row>
    <row r="89" spans="3:18" x14ac:dyDescent="0.3">
      <c r="C89" s="27">
        <v>5</v>
      </c>
      <c r="D89">
        <v>46353002</v>
      </c>
      <c r="E89">
        <v>30467</v>
      </c>
      <c r="F89" s="24">
        <v>44860</v>
      </c>
      <c r="G89" s="90">
        <v>20.814253600865875</v>
      </c>
      <c r="H89" s="90">
        <v>20.814253600865875</v>
      </c>
      <c r="I89">
        <v>21</v>
      </c>
      <c r="J89" s="79">
        <v>21</v>
      </c>
      <c r="K89" s="14">
        <v>1.0089239999999999</v>
      </c>
      <c r="L89" s="14">
        <v>1.0089239999999999</v>
      </c>
      <c r="N89">
        <v>0</v>
      </c>
      <c r="O89" s="14">
        <v>0</v>
      </c>
      <c r="P89" s="14">
        <v>0</v>
      </c>
      <c r="Q89">
        <v>0</v>
      </c>
      <c r="R89" t="s">
        <v>35</v>
      </c>
    </row>
    <row r="90" spans="3:18" x14ac:dyDescent="0.3">
      <c r="C90" s="27">
        <v>5</v>
      </c>
      <c r="D90">
        <v>46353002</v>
      </c>
      <c r="E90">
        <v>30467</v>
      </c>
      <c r="F90" s="24">
        <v>44860</v>
      </c>
      <c r="G90" s="90">
        <v>24.97710432103905</v>
      </c>
      <c r="H90" s="90">
        <v>45.791357921904925</v>
      </c>
      <c r="I90">
        <v>24</v>
      </c>
      <c r="J90" s="79">
        <v>45</v>
      </c>
      <c r="K90" s="14">
        <v>0.96087999999999985</v>
      </c>
      <c r="L90" s="14">
        <v>0.98271818181818171</v>
      </c>
      <c r="N90">
        <v>0</v>
      </c>
      <c r="O90" s="14">
        <v>0</v>
      </c>
      <c r="P90" s="14" t="s">
        <v>35</v>
      </c>
      <c r="Q90">
        <v>0</v>
      </c>
      <c r="R90" t="s">
        <v>35</v>
      </c>
    </row>
    <row r="91" spans="3:18" x14ac:dyDescent="0.3">
      <c r="C91" s="27">
        <v>5</v>
      </c>
      <c r="D91">
        <v>46353002</v>
      </c>
      <c r="E91">
        <v>30467</v>
      </c>
      <c r="F91" s="24">
        <v>44860</v>
      </c>
      <c r="G91" s="90">
        <v>24.97710432103905</v>
      </c>
      <c r="H91" s="90">
        <v>70.768462242943968</v>
      </c>
      <c r="I91">
        <v>24</v>
      </c>
      <c r="J91" s="79">
        <v>69</v>
      </c>
      <c r="K91" s="14">
        <v>0.96087999999999985</v>
      </c>
      <c r="L91" s="14">
        <v>0.97501058823529407</v>
      </c>
      <c r="N91">
        <v>0</v>
      </c>
      <c r="O91" s="14">
        <v>0</v>
      </c>
      <c r="P91" s="14" t="s">
        <v>35</v>
      </c>
      <c r="Q91">
        <v>0</v>
      </c>
      <c r="R91" t="s">
        <v>35</v>
      </c>
    </row>
    <row r="92" spans="3:18" x14ac:dyDescent="0.3">
      <c r="C92" s="27">
        <v>5</v>
      </c>
      <c r="D92">
        <v>46353002</v>
      </c>
      <c r="E92">
        <v>30467</v>
      </c>
      <c r="F92" s="24">
        <v>44860</v>
      </c>
      <c r="G92" s="90">
        <v>24.97710432103905</v>
      </c>
      <c r="H92" s="90">
        <v>95.745566563983019</v>
      </c>
      <c r="I92">
        <v>24</v>
      </c>
      <c r="J92" s="79">
        <v>93</v>
      </c>
      <c r="K92" s="14">
        <v>0.96087999999999985</v>
      </c>
      <c r="L92" s="14">
        <v>0.9713243478260869</v>
      </c>
      <c r="N92">
        <v>0</v>
      </c>
      <c r="O92" s="14">
        <v>0</v>
      </c>
      <c r="P92" s="14" t="s">
        <v>35</v>
      </c>
      <c r="Q92">
        <v>0</v>
      </c>
      <c r="R92" t="s">
        <v>35</v>
      </c>
    </row>
    <row r="93" spans="3:18" x14ac:dyDescent="0.3">
      <c r="C93" s="27">
        <v>5</v>
      </c>
      <c r="D93">
        <v>46353002</v>
      </c>
      <c r="E93">
        <v>30467</v>
      </c>
      <c r="F93" s="24">
        <v>44860</v>
      </c>
      <c r="G93" s="90">
        <v>24.97710432103905</v>
      </c>
      <c r="H93" s="90">
        <v>120.72267088502207</v>
      </c>
      <c r="I93">
        <v>24</v>
      </c>
      <c r="J93" s="79">
        <v>117</v>
      </c>
      <c r="K93" s="14">
        <v>0.96087999999999985</v>
      </c>
      <c r="L93" s="14">
        <v>0.96916344827586198</v>
      </c>
      <c r="N93">
        <v>0</v>
      </c>
      <c r="O93" s="14">
        <v>0</v>
      </c>
      <c r="P93" s="14" t="s">
        <v>35</v>
      </c>
      <c r="Q93">
        <v>0</v>
      </c>
      <c r="R93" t="s">
        <v>35</v>
      </c>
    </row>
    <row r="94" spans="3:18" x14ac:dyDescent="0.3">
      <c r="C94" s="27">
        <v>5</v>
      </c>
      <c r="D94">
        <v>46353002</v>
      </c>
      <c r="E94">
        <v>30467</v>
      </c>
      <c r="F94" s="24">
        <v>44860</v>
      </c>
      <c r="G94" s="90">
        <v>16.6514028806927</v>
      </c>
      <c r="H94" s="90">
        <v>137.37407376571477</v>
      </c>
      <c r="I94">
        <v>17</v>
      </c>
      <c r="J94" s="79">
        <v>134</v>
      </c>
      <c r="K94" s="14">
        <v>1.0209349999999999</v>
      </c>
      <c r="L94" s="14">
        <v>0.97543878787878779</v>
      </c>
      <c r="N94">
        <v>0</v>
      </c>
      <c r="O94" s="14">
        <v>0</v>
      </c>
      <c r="P94" s="14" t="s">
        <v>35</v>
      </c>
      <c r="Q94">
        <v>0</v>
      </c>
      <c r="R94" t="s">
        <v>35</v>
      </c>
    </row>
    <row r="95" spans="3:18" x14ac:dyDescent="0.3">
      <c r="C95" s="27">
        <v>5</v>
      </c>
      <c r="D95">
        <v>46353002</v>
      </c>
      <c r="E95">
        <v>30467</v>
      </c>
      <c r="F95" s="24">
        <v>44860</v>
      </c>
      <c r="G95" s="90">
        <v>24.97710432103905</v>
      </c>
      <c r="H95" s="90">
        <v>162.35117808675381</v>
      </c>
      <c r="I95">
        <v>24</v>
      </c>
      <c r="J95" s="79">
        <v>158</v>
      </c>
      <c r="K95" s="14">
        <v>0.96087999999999985</v>
      </c>
      <c r="L95" s="14">
        <v>0.9731989743589744</v>
      </c>
      <c r="N95">
        <v>0</v>
      </c>
      <c r="O95" s="14">
        <v>0</v>
      </c>
      <c r="P95" s="14" t="s">
        <v>35</v>
      </c>
      <c r="Q95">
        <v>0</v>
      </c>
      <c r="R95" t="s">
        <v>35</v>
      </c>
    </row>
    <row r="96" spans="3:18" x14ac:dyDescent="0.3">
      <c r="C96" s="27">
        <v>5</v>
      </c>
      <c r="D96">
        <v>46353002</v>
      </c>
      <c r="E96">
        <v>30467</v>
      </c>
      <c r="F96" s="24">
        <v>44860</v>
      </c>
      <c r="G96" s="90">
        <v>24.97710432103905</v>
      </c>
      <c r="H96" s="90">
        <v>187.32828240779287</v>
      </c>
      <c r="I96">
        <v>24</v>
      </c>
      <c r="J96" s="79">
        <v>182</v>
      </c>
      <c r="K96" s="14">
        <v>0.96087999999999985</v>
      </c>
      <c r="L96" s="14">
        <v>0.97155644444444433</v>
      </c>
      <c r="N96">
        <v>0</v>
      </c>
      <c r="O96" s="14">
        <v>0</v>
      </c>
      <c r="P96" s="14" t="s">
        <v>35</v>
      </c>
      <c r="Q96">
        <v>0</v>
      </c>
      <c r="R96" t="s">
        <v>35</v>
      </c>
    </row>
    <row r="97" spans="3:18" x14ac:dyDescent="0.3">
      <c r="C97" s="27">
        <v>5</v>
      </c>
      <c r="D97">
        <v>46353002</v>
      </c>
      <c r="E97">
        <v>30467</v>
      </c>
      <c r="F97" s="24">
        <v>44860</v>
      </c>
      <c r="G97" s="90">
        <v>24.97710432103905</v>
      </c>
      <c r="H97" s="90">
        <v>212.30538672883193</v>
      </c>
      <c r="I97">
        <v>24</v>
      </c>
      <c r="J97" s="79">
        <v>206</v>
      </c>
      <c r="K97" s="14">
        <v>0.96087999999999985</v>
      </c>
      <c r="L97" s="14">
        <v>0.97030039215686259</v>
      </c>
      <c r="N97">
        <v>0</v>
      </c>
      <c r="O97" s="14">
        <v>0</v>
      </c>
      <c r="P97" s="14" t="s">
        <v>35</v>
      </c>
      <c r="Q97">
        <v>0</v>
      </c>
      <c r="R97" t="s">
        <v>35</v>
      </c>
    </row>
    <row r="98" spans="3:18" x14ac:dyDescent="0.3">
      <c r="C98" s="27">
        <v>5</v>
      </c>
      <c r="D98">
        <v>46353002</v>
      </c>
      <c r="E98">
        <v>30467</v>
      </c>
      <c r="F98" s="24">
        <v>44860</v>
      </c>
      <c r="G98" s="90">
        <v>24.97710432103905</v>
      </c>
      <c r="H98" s="90">
        <v>237.282491049871</v>
      </c>
      <c r="I98">
        <v>24</v>
      </c>
      <c r="J98" s="79">
        <v>230</v>
      </c>
      <c r="K98" s="14">
        <v>0.96087999999999985</v>
      </c>
      <c r="L98" s="14">
        <v>0.96930877192982434</v>
      </c>
      <c r="N98">
        <v>0</v>
      </c>
      <c r="O98" s="14">
        <v>0</v>
      </c>
      <c r="P98" s="14" t="s">
        <v>35</v>
      </c>
    </row>
    <row r="99" spans="3:18" x14ac:dyDescent="0.3">
      <c r="C99" s="27">
        <v>7</v>
      </c>
      <c r="D99">
        <v>46290007</v>
      </c>
      <c r="E99">
        <v>30224</v>
      </c>
      <c r="F99" s="24">
        <v>44860</v>
      </c>
      <c r="G99" s="90">
        <v>21.997360316761988</v>
      </c>
      <c r="H99" s="90">
        <v>21.997360316761988</v>
      </c>
      <c r="I99">
        <v>18</v>
      </c>
      <c r="J99" s="79">
        <v>18</v>
      </c>
      <c r="K99" s="14">
        <v>0.81828000000000001</v>
      </c>
      <c r="L99" s="14">
        <v>0.81828000000000001</v>
      </c>
      <c r="N99">
        <v>0</v>
      </c>
      <c r="O99" s="14">
        <v>0</v>
      </c>
      <c r="P99" s="14">
        <v>0</v>
      </c>
    </row>
    <row r="100" spans="3:18" x14ac:dyDescent="0.3">
      <c r="C100" s="27">
        <v>7</v>
      </c>
      <c r="D100">
        <v>46290007</v>
      </c>
      <c r="E100">
        <v>30224</v>
      </c>
      <c r="F100" s="24">
        <v>44860</v>
      </c>
      <c r="G100" s="90">
        <v>26.396832380114386</v>
      </c>
      <c r="H100" s="90">
        <v>48.394192696876374</v>
      </c>
      <c r="I100">
        <v>22</v>
      </c>
      <c r="J100" s="79">
        <v>40</v>
      </c>
      <c r="K100" s="14">
        <v>0.83343333333333336</v>
      </c>
      <c r="L100" s="14">
        <v>0.82654545454545458</v>
      </c>
      <c r="N100">
        <v>0</v>
      </c>
      <c r="O100" s="14">
        <v>0</v>
      </c>
      <c r="P100" s="14" t="s">
        <v>35</v>
      </c>
    </row>
    <row r="101" spans="3:18" x14ac:dyDescent="0.3">
      <c r="C101" s="27">
        <v>7</v>
      </c>
      <c r="D101">
        <v>46290007</v>
      </c>
      <c r="E101">
        <v>30224</v>
      </c>
      <c r="F101" s="24">
        <v>44860</v>
      </c>
      <c r="G101" s="90">
        <v>26.396832380114386</v>
      </c>
      <c r="H101" s="90">
        <v>74.791025076990763</v>
      </c>
      <c r="I101">
        <v>22</v>
      </c>
      <c r="J101" s="79">
        <v>62</v>
      </c>
      <c r="K101" s="14">
        <v>0.83343333333333336</v>
      </c>
      <c r="L101" s="14">
        <v>0.82897647058823531</v>
      </c>
      <c r="N101">
        <v>0</v>
      </c>
      <c r="O101" s="14">
        <v>0</v>
      </c>
      <c r="P101" s="14" t="s">
        <v>35</v>
      </c>
    </row>
    <row r="102" spans="3:18" x14ac:dyDescent="0.3">
      <c r="C102" s="27">
        <v>7</v>
      </c>
      <c r="D102">
        <v>46290007</v>
      </c>
      <c r="E102">
        <v>30224</v>
      </c>
      <c r="F102" s="24">
        <v>44860</v>
      </c>
      <c r="G102" s="90">
        <v>26.396832380114386</v>
      </c>
      <c r="H102" s="90">
        <v>101.18785745710515</v>
      </c>
      <c r="I102">
        <v>22</v>
      </c>
      <c r="J102" s="79">
        <v>84</v>
      </c>
      <c r="K102" s="14">
        <v>0.83343333333333336</v>
      </c>
      <c r="L102" s="14">
        <v>0.8301391304347826</v>
      </c>
      <c r="N102">
        <v>0</v>
      </c>
      <c r="O102" s="14">
        <v>0</v>
      </c>
      <c r="P102" s="14" t="s">
        <v>35</v>
      </c>
    </row>
    <row r="103" spans="3:18" x14ac:dyDescent="0.3">
      <c r="C103" s="27">
        <v>7</v>
      </c>
      <c r="D103">
        <v>46290007</v>
      </c>
      <c r="E103">
        <v>30224</v>
      </c>
      <c r="F103" s="24">
        <v>44860</v>
      </c>
      <c r="G103" s="90">
        <v>26.396832380114386</v>
      </c>
      <c r="H103" s="90">
        <v>127.58468983721954</v>
      </c>
      <c r="I103">
        <v>22</v>
      </c>
      <c r="J103" s="79">
        <v>106</v>
      </c>
      <c r="K103" s="14">
        <v>0.83343333333333336</v>
      </c>
      <c r="L103" s="14">
        <v>0.83082068965517231</v>
      </c>
      <c r="N103">
        <v>0</v>
      </c>
      <c r="O103" s="14">
        <v>0</v>
      </c>
      <c r="P103" s="14" t="s">
        <v>35</v>
      </c>
    </row>
    <row r="104" spans="3:18" x14ac:dyDescent="0.3">
      <c r="C104" s="27">
        <v>7</v>
      </c>
      <c r="D104">
        <v>46290007</v>
      </c>
      <c r="E104">
        <v>30224</v>
      </c>
      <c r="F104" s="24">
        <v>44860</v>
      </c>
      <c r="G104" s="90">
        <v>17.597888253409593</v>
      </c>
      <c r="H104" s="90">
        <v>145.18257809062914</v>
      </c>
      <c r="I104">
        <v>17</v>
      </c>
      <c r="J104" s="79">
        <v>123</v>
      </c>
      <c r="K104" s="14">
        <v>0.96602499999999991</v>
      </c>
      <c r="L104" s="14">
        <v>0.8472090909090908</v>
      </c>
      <c r="N104">
        <v>0</v>
      </c>
      <c r="O104" s="14">
        <v>0</v>
      </c>
      <c r="P104" s="14" t="s">
        <v>35</v>
      </c>
    </row>
    <row r="105" spans="3:18" x14ac:dyDescent="0.3">
      <c r="C105" s="27">
        <v>7</v>
      </c>
      <c r="D105">
        <v>46290007</v>
      </c>
      <c r="E105">
        <v>30224</v>
      </c>
      <c r="F105" s="24">
        <v>44860</v>
      </c>
      <c r="G105" s="90">
        <v>26.396832380114386</v>
      </c>
      <c r="H105" s="90">
        <v>171.57941047074351</v>
      </c>
      <c r="I105">
        <v>22</v>
      </c>
      <c r="J105" s="79">
        <v>145</v>
      </c>
      <c r="K105" s="14">
        <v>0.83343333333333336</v>
      </c>
      <c r="L105" s="14">
        <v>0.84508974358974354</v>
      </c>
      <c r="N105">
        <v>0</v>
      </c>
      <c r="O105" s="14">
        <v>0</v>
      </c>
      <c r="P105" s="14" t="s">
        <v>35</v>
      </c>
    </row>
    <row r="106" spans="3:18" x14ac:dyDescent="0.3">
      <c r="C106" s="27">
        <v>7</v>
      </c>
      <c r="D106">
        <v>46290007</v>
      </c>
      <c r="E106">
        <v>30224</v>
      </c>
      <c r="F106" s="24">
        <v>44860</v>
      </c>
      <c r="G106" s="90">
        <v>26.396832380114386</v>
      </c>
      <c r="H106" s="90">
        <v>197.97624285085789</v>
      </c>
      <c r="I106">
        <v>22</v>
      </c>
      <c r="J106" s="79">
        <v>167</v>
      </c>
      <c r="K106" s="14">
        <v>0.83343333333333336</v>
      </c>
      <c r="L106" s="14">
        <v>0.84353555555555559</v>
      </c>
      <c r="N106">
        <v>0</v>
      </c>
      <c r="O106" s="14">
        <v>0</v>
      </c>
      <c r="P106" s="14" t="s">
        <v>35</v>
      </c>
    </row>
    <row r="107" spans="3:18" x14ac:dyDescent="0.3">
      <c r="C107" s="27">
        <v>7</v>
      </c>
      <c r="D107">
        <v>46290007</v>
      </c>
      <c r="E107">
        <v>30224</v>
      </c>
      <c r="F107" s="24">
        <v>44860</v>
      </c>
      <c r="G107" s="90">
        <v>26.396832380114386</v>
      </c>
      <c r="H107" s="90">
        <v>224.37307523097226</v>
      </c>
      <c r="I107">
        <v>22</v>
      </c>
      <c r="J107" s="79">
        <v>189</v>
      </c>
      <c r="K107" s="14">
        <v>0.83343333333333336</v>
      </c>
      <c r="L107" s="14">
        <v>0.84234705882352945</v>
      </c>
      <c r="N107">
        <v>0</v>
      </c>
      <c r="O107" s="14">
        <v>0</v>
      </c>
      <c r="P107" s="14" t="s">
        <v>35</v>
      </c>
    </row>
    <row r="108" spans="3:18" x14ac:dyDescent="0.3">
      <c r="C108" s="27">
        <v>7</v>
      </c>
      <c r="D108">
        <v>46290007</v>
      </c>
      <c r="E108">
        <v>30224</v>
      </c>
      <c r="F108" s="24">
        <v>44860</v>
      </c>
      <c r="G108" s="90">
        <v>26.396832380114386</v>
      </c>
      <c r="H108" s="90">
        <v>250.76990761108664</v>
      </c>
      <c r="I108">
        <v>22</v>
      </c>
      <c r="J108" s="79">
        <v>211</v>
      </c>
      <c r="K108" s="14">
        <v>0.83343333333333336</v>
      </c>
      <c r="L108" s="14">
        <v>0.84140877192982466</v>
      </c>
      <c r="N108">
        <v>0</v>
      </c>
      <c r="O108" s="14">
        <v>0</v>
      </c>
      <c r="P108" s="14" t="s">
        <v>35</v>
      </c>
    </row>
    <row r="109" spans="3:18" x14ac:dyDescent="0.3">
      <c r="C109" s="27">
        <v>7</v>
      </c>
      <c r="D109">
        <v>4605003</v>
      </c>
      <c r="E109">
        <v>27676</v>
      </c>
      <c r="F109" s="24">
        <v>44860</v>
      </c>
      <c r="G109" s="90"/>
      <c r="H109" s="90"/>
    </row>
    <row r="110" spans="3:18" x14ac:dyDescent="0.3">
      <c r="C110" s="27">
        <v>7</v>
      </c>
      <c r="D110">
        <v>4605003</v>
      </c>
      <c r="E110">
        <v>27676</v>
      </c>
      <c r="F110" s="24">
        <v>44860</v>
      </c>
      <c r="G110" s="90"/>
      <c r="H110" s="90"/>
    </row>
    <row r="111" spans="3:18" x14ac:dyDescent="0.3">
      <c r="C111" s="27">
        <v>7</v>
      </c>
      <c r="D111">
        <v>4605003</v>
      </c>
      <c r="E111">
        <v>27676</v>
      </c>
      <c r="F111" s="24">
        <v>44860</v>
      </c>
      <c r="G111" s="90"/>
      <c r="H111" s="90"/>
    </row>
    <row r="112" spans="3:18" x14ac:dyDescent="0.3">
      <c r="C112" s="27">
        <v>7</v>
      </c>
      <c r="D112">
        <v>4605003</v>
      </c>
      <c r="E112">
        <v>27676</v>
      </c>
      <c r="F112" s="24">
        <v>44860</v>
      </c>
      <c r="G112" s="90"/>
      <c r="H112" s="90"/>
    </row>
    <row r="113" spans="3:8" x14ac:dyDescent="0.3">
      <c r="C113" s="27">
        <v>7</v>
      </c>
      <c r="D113">
        <v>4605003</v>
      </c>
      <c r="E113">
        <v>27676</v>
      </c>
      <c r="F113" s="24">
        <v>44860</v>
      </c>
      <c r="G113" s="90"/>
      <c r="H113" s="90"/>
    </row>
    <row r="114" spans="3:8" x14ac:dyDescent="0.3">
      <c r="C114" s="27">
        <v>7</v>
      </c>
      <c r="D114">
        <v>4605003</v>
      </c>
      <c r="E114">
        <v>27676</v>
      </c>
      <c r="F114" s="24">
        <v>44860</v>
      </c>
      <c r="G114" s="90"/>
      <c r="H114" s="90"/>
    </row>
    <row r="115" spans="3:8" x14ac:dyDescent="0.3">
      <c r="C115" s="27">
        <v>7</v>
      </c>
      <c r="D115">
        <v>4605003</v>
      </c>
      <c r="E115">
        <v>27676</v>
      </c>
      <c r="F115" s="24">
        <v>44860</v>
      </c>
      <c r="G115" s="90"/>
      <c r="H115" s="90"/>
    </row>
    <row r="116" spans="3:8" x14ac:dyDescent="0.3">
      <c r="C116" s="27">
        <v>7</v>
      </c>
      <c r="D116">
        <v>4605003</v>
      </c>
      <c r="E116">
        <v>27676</v>
      </c>
      <c r="F116" s="24">
        <v>44860</v>
      </c>
      <c r="G116" s="90"/>
      <c r="H116" s="90"/>
    </row>
    <row r="117" spans="3:8" x14ac:dyDescent="0.3">
      <c r="C117" s="27">
        <v>7</v>
      </c>
      <c r="D117">
        <v>4605003</v>
      </c>
      <c r="E117">
        <v>27676</v>
      </c>
      <c r="F117" s="24">
        <v>44860</v>
      </c>
      <c r="G117" s="90"/>
      <c r="H117" s="90"/>
    </row>
    <row r="118" spans="3:8" x14ac:dyDescent="0.3">
      <c r="C118" s="27">
        <v>7</v>
      </c>
      <c r="D118">
        <v>4605003</v>
      </c>
      <c r="E118">
        <v>27676</v>
      </c>
      <c r="F118" s="24">
        <v>44860</v>
      </c>
      <c r="G118" s="90"/>
      <c r="H118" s="90"/>
    </row>
    <row r="119" spans="3:8" x14ac:dyDescent="0.3">
      <c r="C119" s="27">
        <v>5</v>
      </c>
      <c r="D119">
        <v>46353001</v>
      </c>
      <c r="E119">
        <v>30467</v>
      </c>
      <c r="F119" s="24">
        <v>44860</v>
      </c>
      <c r="G119" s="90"/>
      <c r="H119" s="90"/>
    </row>
    <row r="120" spans="3:8" x14ac:dyDescent="0.3">
      <c r="C120" s="27">
        <v>5</v>
      </c>
      <c r="D120">
        <v>46353001</v>
      </c>
      <c r="E120">
        <v>30467</v>
      </c>
      <c r="F120" s="24">
        <v>44860</v>
      </c>
      <c r="G120" s="90"/>
      <c r="H120" s="90"/>
    </row>
    <row r="121" spans="3:8" x14ac:dyDescent="0.3">
      <c r="C121" s="27">
        <v>5</v>
      </c>
      <c r="D121">
        <v>46353001</v>
      </c>
      <c r="E121">
        <v>30467</v>
      </c>
      <c r="F121" s="24">
        <v>44860</v>
      </c>
      <c r="G121" s="90"/>
      <c r="H121" s="90"/>
    </row>
    <row r="122" spans="3:8" x14ac:dyDescent="0.3">
      <c r="C122" s="27">
        <v>5</v>
      </c>
      <c r="D122">
        <v>46353001</v>
      </c>
      <c r="E122">
        <v>30467</v>
      </c>
      <c r="F122" s="24">
        <v>44860</v>
      </c>
      <c r="G122" s="90"/>
      <c r="H122" s="90"/>
    </row>
  </sheetData>
  <phoneticPr fontId="25" type="noConversion"/>
  <pageMargins left="0.7" right="0.7" top="0.75" bottom="0.75" header="0.3" footer="0.3"/>
  <pageSetup orientation="portrait" r:id="rId1"/>
  <ignoredErrors>
    <ignoredError sqref="A12 A2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Modulo 102</vt:lpstr>
      <vt:lpstr>Modulo 103</vt:lpstr>
      <vt:lpstr>Modulo 105</vt:lpstr>
      <vt:lpstr>Modulo 110</vt:lpstr>
      <vt:lpstr>Modulo 106</vt:lpstr>
      <vt:lpstr>Modulo 118</vt:lpstr>
      <vt:lpstr>Modulo 133</vt:lpstr>
      <vt:lpstr>Modulo 200</vt:lpstr>
      <vt:lpstr>Inf NAVE 1</vt:lpstr>
      <vt:lpstr>INFORME DIARIO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ARCADIO RODRIGUEZ CARDONA</dc:creator>
  <cp:keywords/>
  <dc:description/>
  <cp:lastModifiedBy>Andres</cp:lastModifiedBy>
  <cp:revision/>
  <dcterms:created xsi:type="dcterms:W3CDTF">2022-09-30T19:16:31Z</dcterms:created>
  <dcterms:modified xsi:type="dcterms:W3CDTF">2022-11-21T20:36:17Z</dcterms:modified>
  <cp:category/>
  <cp:contentStatus/>
</cp:coreProperties>
</file>